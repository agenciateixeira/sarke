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G:\Meu Drive\Kompany\SARKE\Clientes Sarke ADM\Eduardo Oliveira\Prime Norte Sul\PLANILHA ORÇAMENTO PRIME\"/>
    </mc:Choice>
  </mc:AlternateContent>
  <xr:revisionPtr revIDLastSave="0" documentId="13_ncr:1_{F8C179FE-60D8-4D80-8F8C-EF9643E13A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ERIAIS" sheetId="1" r:id="rId1"/>
    <sheet name="CAIXA DE OBRA" sheetId="3" r:id="rId2"/>
    <sheet name="SERVIÇOS" sheetId="2" state="hidden" r:id="rId3"/>
  </sheets>
  <definedNames>
    <definedName name="_xlnm.Print_Area" localSheetId="0">MATERIAIS!$A$1:$M$237</definedName>
    <definedName name="_xlnm.Print_Titles" localSheetId="0">MATERIAIS!$1:$13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157" i="1" l="1"/>
  <c r="E95" i="3" l="1"/>
  <c r="H189" i="1"/>
  <c r="H187" i="1"/>
  <c r="H99" i="1" l="1"/>
  <c r="H134" i="1"/>
  <c r="H133" i="1"/>
  <c r="H230" i="1"/>
  <c r="N74" i="3"/>
  <c r="H150" i="1" l="1"/>
  <c r="H77" i="1"/>
  <c r="H220" i="1"/>
  <c r="H70" i="1" l="1"/>
  <c r="H156" i="1"/>
  <c r="H118" i="1" l="1"/>
  <c r="H119" i="1"/>
  <c r="H121" i="1"/>
  <c r="H98" i="1"/>
  <c r="H97" i="1"/>
  <c r="H96" i="1"/>
  <c r="H62" i="1"/>
  <c r="H188" i="1"/>
  <c r="H223" i="1" l="1"/>
  <c r="H186" i="1"/>
  <c r="H222" i="1"/>
  <c r="H123" i="1" l="1"/>
  <c r="H108" i="1" l="1"/>
  <c r="H213" i="1" l="1"/>
  <c r="H87" i="1"/>
  <c r="H85" i="1"/>
  <c r="H94" i="1"/>
  <c r="H95" i="1"/>
  <c r="H93" i="1"/>
  <c r="H92" i="1"/>
  <c r="H91" i="1"/>
  <c r="H52" i="1" l="1"/>
  <c r="H210" i="1" l="1"/>
  <c r="H212" i="1"/>
  <c r="H165" i="1"/>
  <c r="H21" i="1" l="1"/>
  <c r="H22" i="1"/>
  <c r="H172" i="1"/>
  <c r="H174" i="1"/>
  <c r="H180" i="1"/>
  <c r="H231" i="1"/>
  <c r="H229" i="1"/>
  <c r="H226" i="1"/>
  <c r="H225" i="1"/>
  <c r="H224" i="1"/>
  <c r="H221" i="1"/>
  <c r="H219" i="1"/>
  <c r="H218" i="1"/>
  <c r="H217" i="1"/>
  <c r="H216" i="1"/>
  <c r="H215" i="1"/>
  <c r="H214" i="1"/>
  <c r="H211" i="1"/>
  <c r="H209" i="1"/>
  <c r="H206" i="1"/>
  <c r="H205" i="1"/>
  <c r="H204" i="1"/>
  <c r="H203" i="1"/>
  <c r="H202" i="1"/>
  <c r="H201" i="1"/>
  <c r="H200" i="1"/>
  <c r="H198" i="1"/>
  <c r="H197" i="1"/>
  <c r="H199" i="1"/>
  <c r="H196" i="1"/>
  <c r="H195" i="1"/>
  <c r="H194" i="1"/>
  <c r="H193" i="1"/>
  <c r="H190" i="1"/>
  <c r="H185" i="1"/>
  <c r="H184" i="1"/>
  <c r="H183" i="1"/>
  <c r="H179" i="1"/>
  <c r="H171" i="1"/>
  <c r="H170" i="1"/>
  <c r="H168" i="1"/>
  <c r="H167" i="1"/>
  <c r="H166" i="1"/>
  <c r="H164" i="1"/>
  <c r="H155" i="1"/>
  <c r="H152" i="1"/>
  <c r="H151" i="1"/>
  <c r="H149" i="1"/>
  <c r="H148" i="1"/>
  <c r="H147" i="1"/>
  <c r="H146" i="1"/>
  <c r="H145" i="1"/>
  <c r="H142" i="1"/>
  <c r="H141" i="1"/>
  <c r="H135" i="1"/>
  <c r="H132" i="1"/>
  <c r="H131" i="1"/>
  <c r="H130" i="1"/>
  <c r="H129" i="1"/>
  <c r="H128" i="1"/>
  <c r="H127" i="1"/>
  <c r="H126" i="1"/>
  <c r="H122" i="1"/>
  <c r="H120" i="1"/>
  <c r="H117" i="1"/>
  <c r="H116" i="1"/>
  <c r="H115" i="1"/>
  <c r="H112" i="1"/>
  <c r="H111" i="1"/>
  <c r="H110" i="1"/>
  <c r="H109" i="1"/>
  <c r="H103" i="1"/>
  <c r="H104" i="1"/>
  <c r="H45" i="1"/>
  <c r="H90" i="1"/>
  <c r="H50" i="1"/>
  <c r="H35" i="1"/>
  <c r="H31" i="1"/>
  <c r="H47" i="1"/>
  <c r="H61" i="1" l="1"/>
  <c r="H60" i="1"/>
  <c r="H59" i="1"/>
  <c r="H39" i="1" l="1"/>
  <c r="H27" i="1"/>
  <c r="H26" i="1"/>
  <c r="H23" i="1"/>
  <c r="H16" i="1"/>
  <c r="H71" i="1"/>
  <c r="H69" i="1"/>
  <c r="H68" i="1"/>
  <c r="H67" i="1"/>
  <c r="H66" i="1"/>
  <c r="H78" i="1"/>
  <c r="H76" i="1"/>
  <c r="H75" i="1"/>
  <c r="H100" i="1"/>
  <c r="H89" i="1"/>
  <c r="H88" i="1"/>
  <c r="H86" i="1"/>
  <c r="H84" i="1"/>
  <c r="H83" i="1"/>
  <c r="H82" i="1"/>
  <c r="H81" i="1"/>
  <c r="F234" i="1"/>
  <c r="F235" i="1" l="1"/>
  <c r="H235" i="1" l="1"/>
  <c r="F236" i="1"/>
  <c r="F237" i="1" s="1"/>
  <c r="G234" i="1"/>
  <c r="H63" i="1"/>
  <c r="H234" i="1" l="1"/>
  <c r="H44" i="2"/>
  <c r="G44" i="2"/>
  <c r="I44" i="2" s="1"/>
  <c r="I43" i="2"/>
  <c r="G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G14" i="2"/>
  <c r="I13" i="2"/>
  <c r="I14" i="2" s="1"/>
  <c r="G13" i="2"/>
  <c r="H102" i="1"/>
  <c r="H236" i="1" l="1"/>
  <c r="G237" i="1"/>
  <c r="H237" i="1" s="1"/>
</calcChain>
</file>

<file path=xl/sharedStrings.xml><?xml version="1.0" encoding="utf-8"?>
<sst xmlns="http://schemas.openxmlformats.org/spreadsheetml/2006/main" count="2016" uniqueCount="616">
  <si>
    <t>DADOS DO PROJETO</t>
  </si>
  <si>
    <t>NOME:</t>
  </si>
  <si>
    <t>ENDEREÇO:</t>
  </si>
  <si>
    <t>ITEM</t>
  </si>
  <si>
    <t>DESCRIÇÃO MATERIAL</t>
  </si>
  <si>
    <t>QTDE</t>
  </si>
  <si>
    <t>MEDIDA</t>
  </si>
  <si>
    <t>VALOR PAGO</t>
  </si>
  <si>
    <t>VALOR TOTAL</t>
  </si>
  <si>
    <t>VALOR RESTANTE</t>
  </si>
  <si>
    <t>PAGAMENTO</t>
  </si>
  <si>
    <t>EMPRESA</t>
  </si>
  <si>
    <t>STATUS NA OBRA</t>
  </si>
  <si>
    <t>STATUS</t>
  </si>
  <si>
    <t>INFRA ESTRUTURA DE OBRA</t>
  </si>
  <si>
    <t>1.1</t>
  </si>
  <si>
    <t>M²</t>
  </si>
  <si>
    <t>1.2</t>
  </si>
  <si>
    <t>INSTALAÇÃO DE PISO VINÍLICO CIMENTÍCIO</t>
  </si>
  <si>
    <t>1.3</t>
  </si>
  <si>
    <t>VERBA</t>
  </si>
  <si>
    <t>1.4</t>
  </si>
  <si>
    <t>1.5</t>
  </si>
  <si>
    <t>1.6</t>
  </si>
  <si>
    <t>1.7</t>
  </si>
  <si>
    <t>LIMPEZA PARCIAL DE OBRA</t>
  </si>
  <si>
    <t>1.8</t>
  </si>
  <si>
    <t>1.9</t>
  </si>
  <si>
    <t>1.10</t>
  </si>
  <si>
    <t>MONTAGEM DE REDE ELÉTRICA COMPLETA</t>
  </si>
  <si>
    <t>1.11</t>
  </si>
  <si>
    <t xml:space="preserve">MONTAGEM DE QUADRO DE ENERGIA </t>
  </si>
  <si>
    <t>1.12</t>
  </si>
  <si>
    <t>1.13</t>
  </si>
  <si>
    <t>1.14</t>
  </si>
  <si>
    <t>1.15</t>
  </si>
  <si>
    <t>MARMORARIA</t>
  </si>
  <si>
    <t>2.1</t>
  </si>
  <si>
    <t>REVESTIMENTOS</t>
  </si>
  <si>
    <t>3.1</t>
  </si>
  <si>
    <t>M² (COM 10%)</t>
  </si>
  <si>
    <t>ESPLANE</t>
  </si>
  <si>
    <t>3.2</t>
  </si>
  <si>
    <t>UNID</t>
  </si>
  <si>
    <t>4.2</t>
  </si>
  <si>
    <t>MERCADO LIVRE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</si>
  <si>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</si>
  <si>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</si>
  <si>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</si>
  <si>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</si>
  <si>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</si>
  <si>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</si>
  <si>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</si>
  <si>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</si>
  <si>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</si>
  <si>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DISJUNTORES / QUADRO / ELETRODUTOS/ CONDULETES</t>
  </si>
  <si>
    <t>4.12</t>
  </si>
  <si>
    <t>4.13</t>
  </si>
  <si>
    <t>4.14</t>
  </si>
  <si>
    <t xml:space="preserve">PARAFUSOS SPOTS/ BARRA ROSCADA/ PORCAS/ </t>
  </si>
  <si>
    <t>4.16</t>
  </si>
  <si>
    <t>4.17</t>
  </si>
  <si>
    <t>LOUÇAS E METAIS</t>
  </si>
  <si>
    <t>5.1</t>
  </si>
  <si>
    <t>5.2</t>
  </si>
  <si>
    <t xml:space="preserve">VIDROS / ALUMINIOS </t>
  </si>
  <si>
    <t>6.1</t>
  </si>
  <si>
    <t>6.2</t>
  </si>
  <si>
    <t>6.3</t>
  </si>
  <si>
    <t>6.4</t>
  </si>
  <si>
    <t>6.5</t>
  </si>
  <si>
    <t>6.6</t>
  </si>
  <si>
    <t>6.7</t>
  </si>
  <si>
    <t>INOX</t>
  </si>
  <si>
    <t>7.1</t>
  </si>
  <si>
    <t xml:space="preserve">NÃO ORÇADO </t>
  </si>
  <si>
    <t>NÃO ORÇADO</t>
  </si>
  <si>
    <t>SERRALHERIA</t>
  </si>
  <si>
    <t>8.1</t>
  </si>
  <si>
    <t>8.2</t>
  </si>
  <si>
    <t xml:space="preserve">TRILHO CREMALHEIRA 2 METROS DUPLO PRETO </t>
  </si>
  <si>
    <t>LUMINOSO/ ADESIVOS/ PLACAS</t>
  </si>
  <si>
    <t>9.1</t>
  </si>
  <si>
    <t>9.2</t>
  </si>
  <si>
    <t>9.4</t>
  </si>
  <si>
    <t>MARCENARIA</t>
  </si>
  <si>
    <t>10.1</t>
  </si>
  <si>
    <t>11.1</t>
  </si>
  <si>
    <t>11.2</t>
  </si>
  <si>
    <t>ITENS DIVERSOS</t>
  </si>
  <si>
    <t>12.1</t>
  </si>
  <si>
    <t>12.2</t>
  </si>
  <si>
    <t>12.3</t>
  </si>
  <si>
    <t>12.4</t>
  </si>
  <si>
    <t>MATERIAIS DE OBRA GERAIS</t>
  </si>
  <si>
    <t>13.1</t>
  </si>
  <si>
    <t>DIVERSOS</t>
  </si>
  <si>
    <r>
      <rPr>
        <b/>
        <sz val="11"/>
        <color theme="1"/>
        <rFont val="Calibri"/>
        <family val="2"/>
        <scheme val="minor"/>
      </rPr>
      <t xml:space="preserve">VALOR PAGO </t>
    </r>
    <r>
      <rPr>
        <b/>
        <sz val="11"/>
        <color rgb="FFFF0000"/>
        <rFont val="Calibri"/>
        <family val="2"/>
        <scheme val="minor"/>
      </rPr>
      <t>SEM</t>
    </r>
    <r>
      <rPr>
        <b/>
        <sz val="11"/>
        <color theme="1"/>
        <rFont val="Calibri"/>
        <family val="2"/>
        <scheme val="minor"/>
      </rPr>
      <t xml:space="preserve"> A TAXA DE GERENCIAMENTO </t>
    </r>
  </si>
  <si>
    <t xml:space="preserve"> GERENCIAMENTO DE OBRA PAGO</t>
  </si>
  <si>
    <t>IMPOSTOS E ENCARGOS GERENCIAMENTO (8% DO VALOR FINAL DA ADM)</t>
  </si>
  <si>
    <t>VALOR TOTAL PAGO COM TAXA DE ADMINISTRAÇÃO</t>
  </si>
  <si>
    <t>CONTROLE DE SERVIÇOS</t>
  </si>
  <si>
    <t>LOCAL:</t>
  </si>
  <si>
    <t>ESTAÇÃO SÃO BENTO - SHOPPING UNIMART</t>
  </si>
  <si>
    <t>CONTRATANTE:</t>
  </si>
  <si>
    <t>DATA</t>
  </si>
  <si>
    <t>SERVIÇO</t>
  </si>
  <si>
    <t>VALOR UNITARIO</t>
  </si>
  <si>
    <t>VALOR RECEBIDO</t>
  </si>
  <si>
    <t>SALDO</t>
  </si>
  <si>
    <t>LAMPADAS DE LED</t>
  </si>
  <si>
    <t>UNIDADE</t>
  </si>
  <si>
    <t>FIO 3,5MM</t>
  </si>
  <si>
    <t>METROS</t>
  </si>
  <si>
    <t>TOTAL GERAL</t>
  </si>
  <si>
    <t>4.18</t>
  </si>
  <si>
    <t>4.19</t>
  </si>
  <si>
    <t>11.3</t>
  </si>
  <si>
    <t>1.16</t>
  </si>
  <si>
    <t>1.17</t>
  </si>
  <si>
    <t>SUPORTE PARA CREMALHEIRA  PRETO COM 40 CM (PARES)</t>
  </si>
  <si>
    <t>12.5</t>
  </si>
  <si>
    <t>ESTRUTURA DE ELETROCALHA / GANCHOS E EMENDAS</t>
  </si>
  <si>
    <t>ILUMINAÇÃO / CAMERAS</t>
  </si>
  <si>
    <t>CABOS INTERNOS</t>
  </si>
  <si>
    <t>4.1</t>
  </si>
  <si>
    <t>4.15</t>
  </si>
  <si>
    <t>CAMERA INTELBRAS VISÃO NOTURNA BRANCA</t>
  </si>
  <si>
    <t>4.20</t>
  </si>
  <si>
    <t>DVR 8 CANAIS, CONECTORES, HD E CABOS</t>
  </si>
  <si>
    <t>ML</t>
  </si>
  <si>
    <t>ADEMIR</t>
  </si>
  <si>
    <t>12.6</t>
  </si>
  <si>
    <t>1.18</t>
  </si>
  <si>
    <t>1.19</t>
  </si>
  <si>
    <t>INSTALAÇÃO DE CAMERAS E DVR</t>
  </si>
  <si>
    <t>TOTAL DE OBRA COMPLETA</t>
  </si>
  <si>
    <t>14.1</t>
  </si>
  <si>
    <t>MÓVEIS E DECORAÇÃO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</si>
  <si>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</si>
  <si>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</si>
  <si>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</si>
  <si>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</si>
  <si>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</si>
  <si>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</si>
  <si>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</si>
  <si>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</si>
  <si>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</si>
  <si>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POLTRONA EM COURO PRETO</t>
  </si>
  <si>
    <t>HALL</t>
  </si>
  <si>
    <t>EXISTENTE</t>
  </si>
  <si>
    <t>LOGO PRIME (APENAS INSTALAÇÃO)</t>
  </si>
  <si>
    <t>HALL/REUNIAO</t>
  </si>
  <si>
    <t>GERAL</t>
  </si>
  <si>
    <t>CARPETE CINZA + MATERIAL DE INSTALAÇÃO</t>
  </si>
  <si>
    <t>BOSERIE BRANCO LISO 3CM</t>
  </si>
  <si>
    <t>INSTALAÇÃO DE CARPETE</t>
  </si>
  <si>
    <t>INSTALAÇÃO DE RODAPÉ</t>
  </si>
  <si>
    <t>3.3</t>
  </si>
  <si>
    <t>RODAPÉ BRANCO LISO 7CM</t>
  </si>
  <si>
    <t>INSTALAÇÃO DE BOSERIE</t>
  </si>
  <si>
    <t>ESTANTE DE METALON E NICHOS (APENAS INSTALAÇÃO E LOCKERS)</t>
  </si>
  <si>
    <t>COMERCIAL/</t>
  </si>
  <si>
    <t>COMERCIAL</t>
  </si>
  <si>
    <t>FECHAMENTO DE VIDRO TEMPERADO INCOLOR - 02 PORTAS E 06 FIXOS</t>
  </si>
  <si>
    <t>ADESIVO JATEADO PARA VIDROS COM LOGO PRIME</t>
  </si>
  <si>
    <t>SUPORTE E FITA DE LED GAYA 14W/M - BRANCO QUENTE</t>
  </si>
  <si>
    <t>SPOT BRANCO DE EMBUTIR 10X10</t>
  </si>
  <si>
    <t>LAMPADA PAR 20 E 27 - BRANCO QUENTE</t>
  </si>
  <si>
    <t>PLAFON BRANCO DE EMBUTIR 22X22 - BRANCO NEUTRO</t>
  </si>
  <si>
    <t>MESA GERENTE COMERCIAL</t>
  </si>
  <si>
    <t>11.5</t>
  </si>
  <si>
    <t>11.6</t>
  </si>
  <si>
    <t>11.7</t>
  </si>
  <si>
    <t>LAVABO/</t>
  </si>
  <si>
    <t>KIT DE SANITÁRIO COMPLETO - DECA BRANCA</t>
  </si>
  <si>
    <t>TORNEIRA BICA MÉDIA - DECA BRANCA</t>
  </si>
  <si>
    <t>5.3</t>
  </si>
  <si>
    <t>5.4</t>
  </si>
  <si>
    <t>LAVABO</t>
  </si>
  <si>
    <t>PRATELEIRA EM MDF AMADEIRADO COM LED + PRATELEIRA PIA</t>
  </si>
  <si>
    <t>2.2</t>
  </si>
  <si>
    <t>PIA ESCULPIDA EM MARMORE CINZA</t>
  </si>
  <si>
    <t>PISO E RODAPÉ EM MARMORE CINZA</t>
  </si>
  <si>
    <t>HALL/COMERCIAL/LAVABO</t>
  </si>
  <si>
    <t>SALA DU</t>
  </si>
  <si>
    <t>SALA DU/</t>
  </si>
  <si>
    <t>PRATELEIRA EM MDF GRAFITE COM LED + ARMARIO DUAS PORTAS</t>
  </si>
  <si>
    <t>11.8</t>
  </si>
  <si>
    <t>11.9</t>
  </si>
  <si>
    <t>11.11</t>
  </si>
  <si>
    <t>2.3</t>
  </si>
  <si>
    <t>2.4</t>
  </si>
  <si>
    <t>2.5</t>
  </si>
  <si>
    <t>BANCADA EM MARMORE PRETO RAJADO COM BORDA CHANFRADA</t>
  </si>
  <si>
    <t>PAINEL EM MDF AMADEIRADO</t>
  </si>
  <si>
    <t>SOFA DOIS LUGARES EM LINHO VERDE</t>
  </si>
  <si>
    <t>TAPETE OVAL 3 METROS</t>
  </si>
  <si>
    <t>13.11</t>
  </si>
  <si>
    <t>13.12</t>
  </si>
  <si>
    <t>13.13</t>
  </si>
  <si>
    <t>BANCADA EM MARMORE PRETO RAJADO COM BORDA CHANFRADA E PÉ LATERAL</t>
  </si>
  <si>
    <t>GAVETEIRO EM MDF PRETO LACCA (APOIO BANCADA EDUARDO)</t>
  </si>
  <si>
    <t>APARADOR EM MDF GRAFITE E TAMPO AMADEIRADO COM PORTAS A 45</t>
  </si>
  <si>
    <t>HALL/COMERCIAL/SALA DU</t>
  </si>
  <si>
    <t>VIDRO LOUSA 1,20 X 1,10</t>
  </si>
  <si>
    <t>REUNIAO</t>
  </si>
  <si>
    <t>PORTA DE VIDRO TEMPERADO INCOLOR - 02 PORTAS ABRIR</t>
  </si>
  <si>
    <t>COMERCIAL/REUNIAO</t>
  </si>
  <si>
    <t>12.7</t>
  </si>
  <si>
    <t>12.8</t>
  </si>
  <si>
    <t>12.9</t>
  </si>
  <si>
    <t>APARADOR EM MDF AMADEIRADO COM PRATELEIRAS EM METALON COM MDF GRAFITE E LED</t>
  </si>
  <si>
    <t>11.13</t>
  </si>
  <si>
    <t>11.14</t>
  </si>
  <si>
    <t>11.15</t>
  </si>
  <si>
    <t>11.16</t>
  </si>
  <si>
    <t>13.14</t>
  </si>
  <si>
    <t>TAMPO DE MESA EM MDF AMADEIRADO COM TOMADA EMBUTIDA</t>
  </si>
  <si>
    <t>9.5</t>
  </si>
  <si>
    <t>ARTE PARA QUADROS (RAZAO,VISAO E VALORES)</t>
  </si>
  <si>
    <t>CORREDOR</t>
  </si>
  <si>
    <t>SALAO</t>
  </si>
  <si>
    <t>13.15</t>
  </si>
  <si>
    <t>13.16</t>
  </si>
  <si>
    <t>13.17</t>
  </si>
  <si>
    <t>13.18</t>
  </si>
  <si>
    <t>BISTRO ALTO EM MDF CINZA CLARO COM PÉS DOURADO FOSCO</t>
  </si>
  <si>
    <t>HALL/COMERCIAL/SALAO</t>
  </si>
  <si>
    <t xml:space="preserve">SALAO </t>
  </si>
  <si>
    <t>SINO DOURADO FOSCO</t>
  </si>
  <si>
    <t>PERSIANA ROLO COM TELA SOLAR MÉDIA</t>
  </si>
  <si>
    <t>ARMARIO EM MDF AMADEIRADO (CHÃO-TETO) COM FECHADURA TOQUE - 01 PORTA</t>
  </si>
  <si>
    <t>ARMARIO EM MDF AMADEIRADO (CHÃO-TETO) COM FECHADURA TOQUE - 03 PORTAS</t>
  </si>
  <si>
    <t>COMPLEMENTO CABINES E NICHOS IMPRESSORA EM MDF AMADEIRADO</t>
  </si>
  <si>
    <t>11.17</t>
  </si>
  <si>
    <t>11.18</t>
  </si>
  <si>
    <t>11.19</t>
  </si>
  <si>
    <t>CADEIRA GIRATÓRIA DE TRABALHO (IGUAL A EXISTENTE)</t>
  </si>
  <si>
    <t>DESMONTAGEM E MONTAGEM DE FORRO MINERAL EXISTENTE</t>
  </si>
  <si>
    <t>SALAO/COPA</t>
  </si>
  <si>
    <t>DESPENSA</t>
  </si>
  <si>
    <t>COPA</t>
  </si>
  <si>
    <t>BANCADA ALTA EM MDF CINZA CLARO</t>
  </si>
  <si>
    <t>11.21</t>
  </si>
  <si>
    <t>11.22</t>
  </si>
  <si>
    <t>11.23</t>
  </si>
  <si>
    <t>BANCADA EM MARMORE PRETO RAJADO E ÁREA MOLHADA</t>
  </si>
  <si>
    <t>5.5</t>
  </si>
  <si>
    <t xml:space="preserve">LIMPEZA PÓS OBRA </t>
  </si>
  <si>
    <t>AJUSTE DE TUBULAÇÃO DE AR CONDICIONADO</t>
  </si>
  <si>
    <t>AJUSTE DE TUBULAÇÃO E BICOS DE SPK (COMBEIRO)</t>
  </si>
  <si>
    <t>12.10</t>
  </si>
  <si>
    <t>12.11</t>
  </si>
  <si>
    <t>LAVABO/DESPENSA</t>
  </si>
  <si>
    <t>ARMARIO ALTO EM MDF AMADEIRADO COM PRATELEIRAS EM METALON COM MDF CINZA CLARO E LED</t>
  </si>
  <si>
    <t>ARMARIO EM MDF CINZA CLARO COM PORTAS E GAVETAS</t>
  </si>
  <si>
    <t>11.24</t>
  </si>
  <si>
    <t>11.25</t>
  </si>
  <si>
    <t>ARMARIO EM MDF CINZA CLARO - 03 PORTAS (GELADEIRAS)</t>
  </si>
  <si>
    <t>ARMARIO EM MDF CINZA GRAFITE - 02 PORTAS (BANHOS)</t>
  </si>
  <si>
    <t>11.26</t>
  </si>
  <si>
    <t>PRATELEIRAS EM MDF BRANCO TX</t>
  </si>
  <si>
    <t>9.6</t>
  </si>
  <si>
    <t>FRASE MOTIVACIONAL EM ADESIVO BRANCO FOSCO</t>
  </si>
  <si>
    <t>12.12</t>
  </si>
  <si>
    <t>FRETES E MATERIAIS GERAIS DE OBRA (HIDRA, PINTURA,ELÉTRICA, ALVENARIA E FRETES)</t>
  </si>
  <si>
    <t>AR CONDICIONADO / SPK</t>
  </si>
  <si>
    <t>10.2</t>
  </si>
  <si>
    <t>GEAL</t>
  </si>
  <si>
    <t>TOMADAS DE MESA PARA BAIAS NOVAS</t>
  </si>
  <si>
    <t>CAIXA DE SOM JBL BRANCA EMBUTIR</t>
  </si>
  <si>
    <t>RECIEVER FRAHM 02 CANAIS</t>
  </si>
  <si>
    <t>PISO VINILICO CIMENTICIO 3 MM</t>
  </si>
  <si>
    <t>3.4</t>
  </si>
  <si>
    <t>MONTAGEM DE TOMADAS (PAREDES E BAIAS)</t>
  </si>
  <si>
    <t>MONTAGEM DE ILUMINAÇÃO E INTERRUPTORES</t>
  </si>
  <si>
    <t>MONTAGEM DE INFRA DE REDE BASICA (CONDUITES PARA MODEM)</t>
  </si>
  <si>
    <t>DIVISÓRIAS EM DRY-WALL COM LA DE ROCHA</t>
  </si>
  <si>
    <t>FORRO EM ACARTONADO E ACABAMENTO</t>
  </si>
  <si>
    <t>TOTAL DE OBRA COM APROVEITAMENTO</t>
  </si>
  <si>
    <t>ABERTURA DE SHAFTS E RASGOS DE TOMADAS</t>
  </si>
  <si>
    <t>FURAÇÃO DE PLACAS PISO ELEVADO</t>
  </si>
  <si>
    <t>DESCARTE MANUAL DE ENTULHO EM SACOS</t>
  </si>
  <si>
    <t>CHUMBAMENTO DE CAIXAS DE ELÉTRICA E REDE</t>
  </si>
  <si>
    <t>SELADOR E EMASSAR PAREDES E FORRO</t>
  </si>
  <si>
    <t>LIXAR E PINTAR ESPAÇO NO GERAL</t>
  </si>
  <si>
    <t>APLICAÇÃO DE TEXTURA CIMENTO QUEIMADO</t>
  </si>
  <si>
    <t>DESMONTAGEM DE PISO ELEVADO E ESTRUTRURAS EXISTENTES</t>
  </si>
  <si>
    <t>LAVABO/COPA</t>
  </si>
  <si>
    <t>CONEXÃO DE REDE EM MESAS / IMPRESSORAS / TELEVISORES</t>
  </si>
  <si>
    <t>INSTALAÇÃO DE ITENS HIDRAULICOS</t>
  </si>
  <si>
    <t>PROTEÇÃO DE ESPAÇO E SINALIZAÇÕES DE OBRA</t>
  </si>
  <si>
    <t>RESPONSAVEL SARKE</t>
  </si>
  <si>
    <t>MONTAGEM DE INFRA DE ÁGUA E ESGOTO BANHOS E COPA</t>
  </si>
  <si>
    <t>GUILHERME / JULIANO</t>
  </si>
  <si>
    <t>GUILHERME</t>
  </si>
  <si>
    <t>SERCOM</t>
  </si>
  <si>
    <t>DIEGO</t>
  </si>
  <si>
    <t>LEDLUZ</t>
  </si>
  <si>
    <t>SANTE O`DILA</t>
  </si>
  <si>
    <t>BORTOTO</t>
  </si>
  <si>
    <t>JOF</t>
  </si>
  <si>
    <t>PABLO</t>
  </si>
  <si>
    <t>TC MARCENARIA</t>
  </si>
  <si>
    <t xml:space="preserve">MONTAGEM QUADROS E ACESSÓRIOS </t>
  </si>
  <si>
    <t>JENNIFER</t>
  </si>
  <si>
    <t>GUPE</t>
  </si>
  <si>
    <t>SHOP DOS TAPETES</t>
  </si>
  <si>
    <t>TOKSTOK</t>
  </si>
  <si>
    <t>INTERNET</t>
  </si>
  <si>
    <t>ESPELHO GRANDE DE CHÃO 1,80 X 0,90 - DOURADO FOSCO</t>
  </si>
  <si>
    <t>ESPELHO OVAL 80CM - PRETO</t>
  </si>
  <si>
    <t>5.6</t>
  </si>
  <si>
    <t>ACABAMENTOS DE REGISTROS DECA</t>
  </si>
  <si>
    <t xml:space="preserve">SALA DU </t>
  </si>
  <si>
    <t>12.13</t>
  </si>
  <si>
    <t>REGISTRO DE RESPONSABILIDADE</t>
  </si>
  <si>
    <t>SICCAU</t>
  </si>
  <si>
    <t>12.14</t>
  </si>
  <si>
    <t>SEGURO DE OBRA COMPLETO (1,5 MI)</t>
  </si>
  <si>
    <t>EKTO</t>
  </si>
  <si>
    <t>ESPELHO 4MM LAPIDADO</t>
  </si>
  <si>
    <t>COMPLEMENTO DE BANCADA DE TRABALHO COM GAVETA (IMPRESSORA)</t>
  </si>
  <si>
    <t>PRATELEIRAS EM METALON COM MDF CINZA CLARO E LED + BASCULANTE</t>
  </si>
  <si>
    <t>PAGO</t>
  </si>
  <si>
    <t>FINALIZADO</t>
  </si>
  <si>
    <t>BANQUETA ALTA EM COURO CAFÉ</t>
  </si>
  <si>
    <t>POLTRONA EM COURO PRETO CHARLES</t>
  </si>
  <si>
    <t>LOGO CERTIFICADO EM ACRILICO</t>
  </si>
  <si>
    <t>5.7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</si>
  <si>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</si>
  <si>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</si>
  <si>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</si>
  <si>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</si>
  <si>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</si>
  <si>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</si>
  <si>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</si>
  <si>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</si>
  <si>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</si>
  <si>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</si>
  <si>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</si>
  <si>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ESPELHO 4MM LAPIDADO (MÓVEL REUNIÃO)</t>
  </si>
  <si>
    <t>DETECTOR DE FUMAÇA</t>
  </si>
  <si>
    <t>PLACAS DE SINALIZAÇÃO BOMBEIRO E EXTINTORES</t>
  </si>
  <si>
    <t>10.3</t>
  </si>
  <si>
    <t>10.4</t>
  </si>
  <si>
    <t>FRIGOBAR EXPOSITOR 80L</t>
  </si>
  <si>
    <t>GELADEIRA ELECTROLUX 310L INOX</t>
  </si>
  <si>
    <t>PENDENTE DOURADO FOSCO DE FOCO + LAMPADA BULBO</t>
  </si>
  <si>
    <t>LUMINARIA DE CHÃO PRETA + LAMPADA DE LED</t>
  </si>
  <si>
    <t>CAIXA DE MESA PRETA</t>
  </si>
  <si>
    <t>14.2</t>
  </si>
  <si>
    <t>MUDANÇA DE ESCRITÓRIO (GUANABARA X NORTE SUL)</t>
  </si>
  <si>
    <t>11.27</t>
  </si>
  <si>
    <t>COMERCIAL/SALAO</t>
  </si>
  <si>
    <t>9.7</t>
  </si>
  <si>
    <t>FRETES</t>
  </si>
  <si>
    <t>TELAO 120'COM CONTROLE</t>
  </si>
  <si>
    <t>SISTEMA DE TELÃO INTEGRADO COM TELEVISORES</t>
  </si>
  <si>
    <t>SISTEMA DE SENHA NA PORTA</t>
  </si>
  <si>
    <t>SISTEMA DE ALEXA INTEGRADA COM INTERRUPTORES INTELIGENTES</t>
  </si>
  <si>
    <t>INTERRUPTORES INTELIGENTES</t>
  </si>
  <si>
    <t>PROJETOR 4K DE TETO</t>
  </si>
  <si>
    <t>ALEXA (GER 4 E ALEXA DE TELA)</t>
  </si>
  <si>
    <t>1.31</t>
  </si>
  <si>
    <t>1.32</t>
  </si>
  <si>
    <t>SALAO/COMERCIAL</t>
  </si>
  <si>
    <t>HUB + SISTEMA INTELBRAS DE VIDEO (TELEVISORES E TELAO)</t>
  </si>
  <si>
    <t>4.21</t>
  </si>
  <si>
    <t>4.22</t>
  </si>
  <si>
    <t>PEDREIRA</t>
  </si>
  <si>
    <t>MICROONDAS MÉDIA TAMANHO (01 MICRO EXISTENTE)</t>
  </si>
  <si>
    <t>QUADRO GRAFITE 1,20 X 0,90 / QUADRO PLANTA 0.90 X 0.60 / QUADRO AZUL EXISTENTE 02 UNID.</t>
  </si>
  <si>
    <t>REPLICA LOTUS (1,5M DE ALTURA) + SUPORTE + INSTALAÇÃO</t>
  </si>
  <si>
    <t>DIVISÓRIAS EM DRY-WALL</t>
  </si>
  <si>
    <t>MOBILIZAÇÃO DE EQUIPE E ACOMPNHAMENTO DE ENGENHARIA</t>
  </si>
  <si>
    <t>PARCIAL</t>
  </si>
  <si>
    <t>DIVISÓRIAS EM MDF AMADEIRADO COM LA DE ROCHA (APENAS LADO EXTERNO DA COPA)</t>
  </si>
  <si>
    <t>DIVISÓRIAS EM DRY-WALL (PAREDES QUE TINHA PAINEL EM MDF)</t>
  </si>
  <si>
    <t xml:space="preserve">COMERCIAL. </t>
  </si>
  <si>
    <t>9.8</t>
  </si>
  <si>
    <t>GRAFITE PAREDE COMERCIAL COM HALL</t>
  </si>
  <si>
    <t>LUCAS PAULUCCI</t>
  </si>
  <si>
    <t>ABERTURA DE LAJE E FECHAMENTO DE FORRO ANDAR INFERIOR</t>
  </si>
  <si>
    <t>33.50</t>
  </si>
  <si>
    <t xml:space="preserve">PORTA DE VIDRO TEMPERADO INCOLOR  </t>
  </si>
  <si>
    <t>6.8</t>
  </si>
  <si>
    <t>CABINE</t>
  </si>
  <si>
    <t>BANCO PEQUENO PARA CABINE ACUSTICA</t>
  </si>
  <si>
    <t>PORTA DE ABRIR BRANCA COM FECHADURA E GUARNIÇÃO - 01 DE SALA 82 CM E 02 DE BANHO 62CM</t>
  </si>
  <si>
    <t>1.33</t>
  </si>
  <si>
    <t>1.34</t>
  </si>
  <si>
    <t>1.35</t>
  </si>
  <si>
    <t>1.36</t>
  </si>
  <si>
    <t>LAVABO (ADENDO)</t>
  </si>
  <si>
    <t>HALL/COPA (ADENDO)</t>
  </si>
  <si>
    <t>JM MARMORARIA</t>
  </si>
  <si>
    <t>ESPELHO OVAL 160CM - PRETO</t>
  </si>
  <si>
    <t>VALOR A PAGAR</t>
  </si>
  <si>
    <t>MONTAGEM DE BASE DE ALVENARIA, IMPERMEABILIZAÇÃO E CONTRAPISO</t>
  </si>
  <si>
    <t>MASSA, LIXA, PINTURA E TEXTURA EM PAREDES ADICIONADAS</t>
  </si>
  <si>
    <t>DESCONTO</t>
  </si>
  <si>
    <t>MONTAGEM DE REDE HIDRAULICA PAVIMENTO INFERIOR + RALO</t>
  </si>
  <si>
    <t>CABINE (ADENDO)</t>
  </si>
  <si>
    <t>EM ANDAMENTO</t>
  </si>
  <si>
    <t>DESCRIÇÃO</t>
  </si>
  <si>
    <t>NF</t>
  </si>
  <si>
    <t>VALOR</t>
  </si>
  <si>
    <t>BAIAS DE TRABALHO EM MDF CINZA GRAFITE COM BIOMBO CINZA CLARO (10 LUGARES)</t>
  </si>
  <si>
    <t>PÉS DE BISTRO PRETO</t>
  </si>
  <si>
    <t>FRETES + DESMONTAGENS + MONTAGEM ITENS REAPROVEITADOS</t>
  </si>
  <si>
    <t>11.28</t>
  </si>
  <si>
    <t>PLOTAGENS</t>
  </si>
  <si>
    <t>TRANSFERIDO</t>
  </si>
  <si>
    <t>PAPEL DE MASCARAMENTO</t>
  </si>
  <si>
    <t>CODIGO</t>
  </si>
  <si>
    <t>RECIBO</t>
  </si>
  <si>
    <t>CUPOM</t>
  </si>
  <si>
    <t>PRODUTOS DE LIMPEZA</t>
  </si>
  <si>
    <t>LOCAL</t>
  </si>
  <si>
    <t>PAGAMENTO 100% NO FINAL</t>
  </si>
  <si>
    <t>BOMBONA</t>
  </si>
  <si>
    <t>PIRAMIDE</t>
  </si>
  <si>
    <t>PARCIAL SEMANA</t>
  </si>
  <si>
    <t>SEM NF</t>
  </si>
  <si>
    <t>ADIANTAMENTO PRIME</t>
  </si>
  <si>
    <t>50% ATO / 50% FINAL</t>
  </si>
  <si>
    <t>REFORMA COMERCIAL - PRIME NORTE SUL</t>
  </si>
  <si>
    <t>CAMPINAS/SP</t>
  </si>
  <si>
    <t>6X VIA CARTAO</t>
  </si>
  <si>
    <t>ATO / 30 / 60 / 90 - TODO DIA 19</t>
  </si>
  <si>
    <t>SISTEMA DE SOM</t>
  </si>
  <si>
    <t>MONTAGEM TVS / PROJETOR / ELETROS EXISTENTES</t>
  </si>
  <si>
    <t>1.37</t>
  </si>
  <si>
    <t>MATERIAL DE PROTEÇÃO</t>
  </si>
  <si>
    <t>MATERIAL BASICO ELÉTRICA</t>
  </si>
  <si>
    <t>PRIME</t>
  </si>
  <si>
    <t>MEGAPRINT</t>
  </si>
  <si>
    <t>SANTA O'DILA</t>
  </si>
  <si>
    <t>CASA DO PAPEL</t>
  </si>
  <si>
    <t>DE TUDO</t>
  </si>
  <si>
    <t>MATERIAL DE CIVIL</t>
  </si>
  <si>
    <t>CAIXA DE OBRA - ITEM 14 - SEMANA 01</t>
  </si>
  <si>
    <t>CAIXA DE OBRA - ITEM 14 - SEMANA 02</t>
  </si>
  <si>
    <t>CAIXA DE OBRA - ITEM 14 - SEMANA 03</t>
  </si>
  <si>
    <t>MARIO</t>
  </si>
  <si>
    <t>PASSAGEM DE INFRA DE REDE E SERVIDOR</t>
  </si>
  <si>
    <t>CAIXA DE OBRA - ITEM 14 - SEMANA 04</t>
  </si>
  <si>
    <t>COMBASE</t>
  </si>
  <si>
    <t>MATERIAL DE ELÉTRICA</t>
  </si>
  <si>
    <t>LOGUS</t>
  </si>
  <si>
    <t>COLORMARTI</t>
  </si>
  <si>
    <t>MATERIAL BASICO DE HIDRA</t>
  </si>
  <si>
    <t>ESTAPAR</t>
  </si>
  <si>
    <t>ESTACIONAMENTO</t>
  </si>
  <si>
    <t>FECHADURA INTELIGENTE PORTA</t>
  </si>
  <si>
    <t>ATO / 30 / 60 / 90 / 120 - TODO DIA 19</t>
  </si>
  <si>
    <r>
      <t xml:space="preserve">ATO / 30 / 60 / 90 / 120 - </t>
    </r>
    <r>
      <rPr>
        <sz val="11"/>
        <color rgb="FFFF0000"/>
        <rFont val="Calibri (Corpo)"/>
      </rPr>
      <t>TODO DIA 19</t>
    </r>
  </si>
  <si>
    <t>A VISTA</t>
  </si>
  <si>
    <t>GALMAQ</t>
  </si>
  <si>
    <t>PARAFUSOS</t>
  </si>
  <si>
    <t>VENTOKIT</t>
  </si>
  <si>
    <t>ESSENCIAL</t>
  </si>
  <si>
    <t>ATO / 30 / 60             TODO DIA 04</t>
  </si>
  <si>
    <t>CAIXA PRETA DE CHAO</t>
  </si>
  <si>
    <t>CONECTOR FURUKAWA</t>
  </si>
  <si>
    <t>TOMADA SPERONE 20A</t>
  </si>
  <si>
    <t>MODULO TS PARA TOMADA - BRANCO</t>
  </si>
  <si>
    <t>PLAFON BRANCO DE EMBUTIR 28X28 - BRANCO NEUTRO</t>
  </si>
  <si>
    <t>4.23</t>
  </si>
  <si>
    <t>4.24</t>
  </si>
  <si>
    <t>4.25</t>
  </si>
  <si>
    <t>4.26</t>
  </si>
  <si>
    <t>4.27</t>
  </si>
  <si>
    <t>4.28</t>
  </si>
  <si>
    <t>LAMPADA PAR 11</t>
  </si>
  <si>
    <t>4.29</t>
  </si>
  <si>
    <t>https://www.mercadolivre.com.br/espelho-ovalada-de-parede-oval-do-80cm-x-50cm-quadro-preto-500gr-moldura-em-couro/p/MLB27474250?searchVariation=MLB27474250#polycard_client=search-nordic&amp;searchVariation=MLB27474250&amp;wid=MLB4085266609&amp;position=1&amp;search_layout=grid&amp;type=product&amp;tracking_id=a1cc9e7c-b75b-449c-be1f-f42184cf256e&amp;sid=search</t>
  </si>
  <si>
    <t>https://produto.mercadolivre.com.br/MLB-5376081100-espelho-retangular-180x90-c-apoio-cho-tripe-moldura-metal-_JM?searchVariation=183530550510#polycard_client=search-nordic&amp;searchVariation=183530550510&amp;position=10&amp;search_layout=grid&amp;type=item&amp;tracking_id=163fa34c-778d-4ad0-ace4-f745a5c6bd57</t>
  </si>
  <si>
    <t>FRETE PARA PÉS DE BISTRO</t>
  </si>
  <si>
    <t>CAIXA DE OBRA - ITEM 14 - SEMANA 05</t>
  </si>
  <si>
    <t>DIFERENÇA FECHADURA</t>
  </si>
  <si>
    <t>4.30</t>
  </si>
  <si>
    <t>ELETROCALHAS</t>
  </si>
  <si>
    <t>MASSA CORRIDA</t>
  </si>
  <si>
    <t>PLOTAGENS E IMPRESSOES</t>
  </si>
  <si>
    <t>CAIXA DE ELÉTRICA - ITEM 4.15 A 4.18 - SEMANA 02</t>
  </si>
  <si>
    <t>CAIXA DE ELÉTRICA - ITEM 4.15 A 4.18 - SEMANA 05</t>
  </si>
  <si>
    <t>CAIXA DE ELÉTRICA - ITEM 4.15 A 4.18 - SEMANA 04</t>
  </si>
  <si>
    <t>CAIXA DE ELÉTRICA - ITEM 4.15 A 4.18 - SEMANA 03</t>
  </si>
  <si>
    <t>MATERIAL ELÉTRICA BASICA</t>
  </si>
  <si>
    <t>CAIXA DE OBRA - ITEM 14 - SEMANA 06</t>
  </si>
  <si>
    <t>https://www.mercadolivre.com.br/geladeira-electrolux-tf39-frost-free-310l-duplex-branca/p/MLB10816320?pdp_filters=item_id%3AMLB2797892680&amp;attributes=COLOR%3ABranco#origin%3Dshare%26sid%3Dshare%26wid%3DMLB2797892680</t>
  </si>
  <si>
    <t>https://www.mercadolivre.com.br/refrigerador-expositor-vertical-eos-80l-preto-eev90p/p/MLB46561795?pdp_filters=item_id%3AMLB5304847330&amp;from=gshop&amp;matt_tool=14476645&amp;matt_internal_campaign_id=&amp;matt_word=&amp;matt_source=google&amp;matt_campaign_id=22090193660&amp;matt_ad_group_id=174661938204&amp;matt_match_type=&amp;matt_network=g&amp;matt_device=c&amp;matt_creative=727914177988&amp;matt_keyword=&amp;matt_ad_position=&amp;matt_ad_type=pla&amp;matt_merchant_id=735098660&amp;matt_product_id=MLB46561795-product&amp;matt_product_partition_id=2387500638707&amp;matt_target_id=aud-1967156880386:pla-2387500638707&amp;cq_src=google_ads&amp;cq_cmp=22090193660&amp;cq_net=g&amp;cq_plt=gp&amp;cq_med=pla&amp;gad_source=1&amp;gad_campaignid=22090193660&amp;gbraid=0AAAAAD93qcBNpLgCNla40ITyRegvceNU3&amp;gclid=CjwKCAjw7MLDBhAuEiwAIeXGIX8y7ubnfrgOBJFJmjZpa9alPNJMfnF_Zz1gGZk43MxmSlH8aLMqDRoC7FwQAvD_BwE</t>
  </si>
  <si>
    <t>https://site.fastshop.com.br/smart-tv-samsung-qled-4k-65--polegadas-65q60dto-2024-modo-game--som-em-movimento--tela-sem-limites-e-wi-fi-sgqn65q60dto_prd-4476/p</t>
  </si>
  <si>
    <t>https://www.mercadolivre.com.br/philco-micro-ondas-pme25-espelhado-127v/p/MLB36821962?product_trigger_id=MLB36758736&amp;attributes=COLOR%3AEspelhado%2CVOLTAGE%3A127V_vpp&amp;pdp_filters=item_id%3AMLB3689757523&amp;applied_product_filters=MLB36758736&amp;from=gshop&amp;picker=true&amp;matt_tool=22683844&amp;matt_internal_campaign_id=&amp;matt_word=&amp;matt_source=google&amp;matt_campaign_id=22090193735&amp;matt_ad_group_id=174661967644&amp;matt_match_type=&amp;matt_network=g&amp;matt_device=c&amp;matt_creative=727914179923&amp;matt_keyword=&amp;matt_ad_position=&amp;matt_ad_type=pla&amp;matt_merchant_id=735098660&amp;matt_product_id=MLB36758736-product&amp;matt_product_partition_id=2392713421101&amp;matt_target_id=aud-1967156880386%3Apla-2392713421101&amp;cq_src=google_ads&amp;cq_cmp=22090193735&amp;cq_net=g&amp;cq_plt=gp&amp;cq_med=pla&amp;gad_source=1&amp;gad_campaignid=22090193735&amp;gbraid=0AAAAAD93qcAeDIxRFo2ZkyJFienB-V6fe&amp;gclid=CjwKCAjw7MLDBhAuEiwAIeXGIeinaunRTVuwISZhydu0Ew-RRfcGkFI7XOlEiAf6NZ8Jk4KJu6fmoRoCDHMQAvD_BwE&amp;quantity=1</t>
  </si>
  <si>
    <t>10.5</t>
  </si>
  <si>
    <t>LIMPEZA GERAL DE TUDOS DE AR CONDICIONADO</t>
  </si>
  <si>
    <t>AMAZON</t>
  </si>
  <si>
    <t>TORNEIRA BICA ALTA - CELITE PRETA</t>
  </si>
  <si>
    <t>COZINHA</t>
  </si>
  <si>
    <t>VALVULA LAVATÓRIOS</t>
  </si>
  <si>
    <t>SIFÃO FIXO CROMADO</t>
  </si>
  <si>
    <t>TD CUBAS</t>
  </si>
  <si>
    <t>LAVABO/COZINHA</t>
  </si>
  <si>
    <t>5.8</t>
  </si>
  <si>
    <t>5.9</t>
  </si>
  <si>
    <t>DIAMANTE</t>
  </si>
  <si>
    <t>TINTAS (TESTE)</t>
  </si>
  <si>
    <t>COR BELLA</t>
  </si>
  <si>
    <t>CAIXA DE OBRA - ITEM 14 - SEMANA 07</t>
  </si>
  <si>
    <t>FUNDO PREPARADOR E LIXAS</t>
  </si>
  <si>
    <t>BANQUETA ALTA EM COURO PRETO</t>
  </si>
  <si>
    <t>MJ HOME</t>
  </si>
  <si>
    <t>11.29</t>
  </si>
  <si>
    <t>CABINES</t>
  </si>
  <si>
    <t>FUTON EM COURO PRETO 5 CM COM VELCRO</t>
  </si>
  <si>
    <t>13 DE MAIO</t>
  </si>
  <si>
    <t>PUFF EM COURO CAFÉ</t>
  </si>
  <si>
    <t>9.9</t>
  </si>
  <si>
    <t>11.30</t>
  </si>
  <si>
    <t>AUMENTO DE ARMARIO COZINHA</t>
  </si>
  <si>
    <t>EMERSON</t>
  </si>
  <si>
    <t>1.38</t>
  </si>
  <si>
    <t>FRETE E MATERIAL DE INSTALAÇÃO ( 1.34 A 1.37)</t>
  </si>
  <si>
    <t>PAGAMENTO 19/08</t>
  </si>
  <si>
    <t>LOGO PERSONALIZE E PLACA SALA EDUARDO / LAVABO</t>
  </si>
  <si>
    <t>11.31</t>
  </si>
  <si>
    <t>PAINEL TELEVISAO COPA</t>
  </si>
  <si>
    <t>VERBA DE ADITIVOS E AJUSTES</t>
  </si>
  <si>
    <t>PAGAMENTO DIA 19</t>
  </si>
  <si>
    <t>MODULAR CAMPINAS</t>
  </si>
  <si>
    <t>SPOT BRANCO DE EMBUTIR 10X10 + LAMPADA</t>
  </si>
  <si>
    <t>4.31</t>
  </si>
  <si>
    <t>4.32</t>
  </si>
  <si>
    <t>PLAFON SOBREPOR PARA CABINE + LAMPADA</t>
  </si>
  <si>
    <t>MODULO SLEEK + TOMADAS</t>
  </si>
  <si>
    <t>SUPORTE DE TOALHA DE PAREDE</t>
  </si>
  <si>
    <t>LIXO / PAPELEIRA / PORTA SABAO / CABIDEIROS / PORTA PAPEL</t>
  </si>
  <si>
    <t>CADEIRA DE REUNIAO EM COURO PRETO E FERRO PRETO</t>
  </si>
  <si>
    <t>TECHCLEANER</t>
  </si>
  <si>
    <t>CAIXA DE OBRA - ITEM 14 - SEMANA 08</t>
  </si>
  <si>
    <t>CAIXA DE ELÉTRICA - ITEM 4.15 A 4.18 - SEMANA 08</t>
  </si>
  <si>
    <t>CABO FLEXIVEL</t>
  </si>
  <si>
    <t>MODULO DE TOMADAS</t>
  </si>
  <si>
    <t>LIXA E DISCOS</t>
  </si>
  <si>
    <t>PARAFUSO E MAO FRANCESA</t>
  </si>
  <si>
    <t>LEROY</t>
  </si>
  <si>
    <t>ARANDELAS</t>
  </si>
  <si>
    <t>CABO DE REDE</t>
  </si>
  <si>
    <t>CASA DO INSTALADOR</t>
  </si>
  <si>
    <t>BUCHAS CAMERAS</t>
  </si>
  <si>
    <t>CAIXA DE OBRA - ITEM 14 - SEMANA 09</t>
  </si>
  <si>
    <t>VIDEO GAME PLAY 05 + CONTROLE</t>
  </si>
  <si>
    <t>3.5</t>
  </si>
  <si>
    <t>FORRO MINERAL BRANCO 62X62CM</t>
  </si>
  <si>
    <t>2.6</t>
  </si>
  <si>
    <t>MODULO DE TOMADA</t>
  </si>
  <si>
    <t>CASA DO REPARO</t>
  </si>
  <si>
    <t>FLEXIVEL E VEDAROSCA</t>
  </si>
  <si>
    <t>CONECTORES</t>
  </si>
  <si>
    <t>VILLAR</t>
  </si>
  <si>
    <t>BRASITONE</t>
  </si>
  <si>
    <t>CAIXA DE PAPELAO</t>
  </si>
  <si>
    <t>JUNTA PARA PISO VINILICO</t>
  </si>
  <si>
    <t>KALUNGA</t>
  </si>
  <si>
    <t>SUPORTE DE PROJETOR</t>
  </si>
  <si>
    <t>VISCONDE</t>
  </si>
  <si>
    <t>HIRAYAMA</t>
  </si>
  <si>
    <t>CABO DE SOM</t>
  </si>
  <si>
    <t>FRETES DIVERSOS</t>
  </si>
  <si>
    <t>PERFIL DE PISO VINILICO</t>
  </si>
  <si>
    <t>LOGOS</t>
  </si>
  <si>
    <t>TOMADAS E SUPORTES</t>
  </si>
  <si>
    <t>LEROY MERLIN</t>
  </si>
  <si>
    <t>SUPORTE TV E FECHADURAS</t>
  </si>
  <si>
    <t>ESPELHO PARA CABINE ACUSTICA</t>
  </si>
  <si>
    <t>FILTRO DE LINHA E CONECTORES</t>
  </si>
  <si>
    <t>CABO FLEXIVEL E FITA ISOLANTE</t>
  </si>
  <si>
    <t xml:space="preserve">DECORAÇÃO EM GERAL, ITENS DE COZINHA E UTENSILIOS </t>
  </si>
  <si>
    <t>ATO / 30 TODO DIA 01</t>
  </si>
  <si>
    <t>14.3</t>
  </si>
  <si>
    <t>CAÇAMBAS</t>
  </si>
  <si>
    <t>BARREIRO AMBIENTAL</t>
  </si>
  <si>
    <t>A PAGAR</t>
  </si>
  <si>
    <t>VIDRO LOUSA 1,20 X 1,80</t>
  </si>
  <si>
    <t>6.9</t>
  </si>
  <si>
    <t>TV 70'</t>
  </si>
  <si>
    <t>10.6</t>
  </si>
  <si>
    <t>AJUSTE DE BICOS DE SPK PARA TROCA DE FORRO</t>
  </si>
  <si>
    <t>6.10</t>
  </si>
  <si>
    <t>REUNIAO/EDUARDO</t>
  </si>
  <si>
    <t>CHAPAS DE ACABAMENTO EM DOURADO FOSCO</t>
  </si>
  <si>
    <t>ITENS DIVERSOS DE ILUMINAÇÃO E TOMADAS DE MESA</t>
  </si>
  <si>
    <t>RODAPÉ COZINHA / RODAPÉ BANHOS / FRONTAO BANHOS 3 CM</t>
  </si>
  <si>
    <t>COPA/BANHOS</t>
  </si>
  <si>
    <t>ALEC TEIXEIRA</t>
  </si>
  <si>
    <t>TINTAS (BOLETOS EM ABERTO)</t>
  </si>
  <si>
    <t>PINTURA (BOLETOS EM ABERTO)</t>
  </si>
  <si>
    <t>CORBELLA</t>
  </si>
  <si>
    <t>CAIXA DE ELÉTRICA - ITEM 4.15 A 4.18 - SEMANA 09</t>
  </si>
  <si>
    <t>ELETRICA E ILUMINAÇÃO BOLETOS EM ABERTO</t>
  </si>
  <si>
    <t>11.32</t>
  </si>
  <si>
    <t>NICHOS ESTANTE ENTRADA + LED + SERRALHERIA ESTANTE</t>
  </si>
  <si>
    <t>ITENS HIDRAULICA</t>
  </si>
  <si>
    <t>NF DIVERSAS</t>
  </si>
  <si>
    <t>PAGAR</t>
  </si>
  <si>
    <t>CABO HDMI</t>
  </si>
  <si>
    <t>1.39</t>
  </si>
  <si>
    <t>1.40</t>
  </si>
  <si>
    <t>1.41</t>
  </si>
  <si>
    <t>1.42</t>
  </si>
  <si>
    <t>GUERREIRAS</t>
  </si>
  <si>
    <t>CUBA INOX TRAMONTINA N01</t>
  </si>
  <si>
    <t>ITEM RETIRADO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</si>
</sst>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&quot;R$&quot;#,##0.00"/>
    <numFmt numFmtId="166" formatCode="&quot;R$&quot;\ #,##0.00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Adobe Myungjo Std M"/>
      <charset val="128"/>
    </font>
    <font>
      <sz val="11"/>
      <color theme="1"/>
      <name val="Adobe Myungjo Std M"/>
      <charset val="128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Adobe Myungjo Std M"/>
    </font>
    <font>
      <sz val="14"/>
      <color rgb="FF92D050"/>
      <name val="Adobe Myungjo Std M"/>
      <charset val="128"/>
    </font>
    <font>
      <b/>
      <sz val="14"/>
      <color theme="1"/>
      <name val="Calibri"/>
      <family val="2"/>
      <scheme val="minor"/>
    </font>
    <font>
      <sz val="11"/>
      <color rgb="FFFF0000"/>
      <name val="Calibri (Corpo)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A4A36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F5347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rgb="FFE8977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8">
    <xf numFmtId="0" fontId="0" fillId="0" borderId="0"/>
    <xf numFmtId="43" fontId="15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94">
    <xf numFmtId="0" fontId="0" fillId="0" borderId="0" xfId="0"/>
    <xf numFmtId="0" fontId="0" fillId="2" borderId="0" xfId="0" applyFill="1"/>
    <xf numFmtId="0" fontId="7" fillId="2" borderId="0" xfId="0" applyFont="1" applyFill="1"/>
    <xf numFmtId="0" fontId="7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0" fontId="9" fillId="2" borderId="1" xfId="0" applyFont="1" applyFill="1" applyBorder="1" applyAlignment="1">
      <alignment horizontal="center"/>
    </xf>
    <xf numFmtId="43" fontId="9" fillId="2" borderId="1" xfId="1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43" fontId="7" fillId="0" borderId="0" xfId="1" applyFont="1"/>
    <xf numFmtId="0" fontId="9" fillId="3" borderId="3" xfId="0" applyFont="1" applyFill="1" applyBorder="1" applyAlignment="1">
      <alignment horizontal="center" vertical="center"/>
    </xf>
    <xf numFmtId="43" fontId="9" fillId="3" borderId="3" xfId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6" xfId="1" applyFont="1" applyBorder="1"/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43" fontId="0" fillId="0" borderId="9" xfId="1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43" fontId="0" fillId="0" borderId="12" xfId="1" applyFont="1" applyBorder="1"/>
    <xf numFmtId="43" fontId="11" fillId="6" borderId="15" xfId="1" applyFont="1" applyFill="1" applyBorder="1"/>
    <xf numFmtId="43" fontId="11" fillId="6" borderId="16" xfId="1" applyFont="1" applyFill="1" applyBorder="1"/>
    <xf numFmtId="43" fontId="0" fillId="2" borderId="1" xfId="1" applyFont="1" applyFill="1" applyBorder="1"/>
    <xf numFmtId="43" fontId="0" fillId="0" borderId="17" xfId="1" applyFont="1" applyBorder="1"/>
    <xf numFmtId="43" fontId="0" fillId="0" borderId="18" xfId="1" applyFont="1" applyBorder="1"/>
    <xf numFmtId="43" fontId="0" fillId="0" borderId="19" xfId="1" applyFont="1" applyBorder="1"/>
    <xf numFmtId="43" fontId="11" fillId="6" borderId="20" xfId="1" applyFont="1" applyFill="1" applyBorder="1"/>
    <xf numFmtId="0" fontId="0" fillId="0" borderId="0" xfId="0" applyAlignment="1">
      <alignment horizontal="center" vertical="center"/>
    </xf>
    <xf numFmtId="43" fontId="8" fillId="2" borderId="0" xfId="1" applyFont="1" applyFill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  <xf numFmtId="14" fontId="0" fillId="2" borderId="26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7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/>
    </xf>
    <xf numFmtId="43" fontId="0" fillId="2" borderId="9" xfId="1" applyFont="1" applyFill="1" applyBorder="1" applyAlignment="1">
      <alignment horizontal="center" vertical="center"/>
    </xf>
    <xf numFmtId="43" fontId="0" fillId="2" borderId="28" xfId="1" applyFont="1" applyFill="1" applyBorder="1" applyAlignment="1">
      <alignment horizontal="center"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0" fillId="9" borderId="27" xfId="0" applyFill="1" applyBorder="1" applyAlignment="1">
      <alignment vertical="center"/>
    </xf>
    <xf numFmtId="0" fontId="0" fillId="9" borderId="9" xfId="0" applyFill="1" applyBorder="1" applyAlignment="1">
      <alignment horizontal="center" vertical="center"/>
    </xf>
    <xf numFmtId="0" fontId="0" fillId="9" borderId="27" xfId="0" applyFill="1" applyBorder="1" applyAlignment="1">
      <alignment horizontal="left" vertical="center"/>
    </xf>
    <xf numFmtId="43" fontId="0" fillId="5" borderId="28" xfId="1" applyFont="1" applyFill="1" applyBorder="1" applyAlignment="1">
      <alignment horizontal="center" vertical="center"/>
    </xf>
    <xf numFmtId="43" fontId="0" fillId="5" borderId="9" xfId="1" applyFont="1" applyFill="1" applyBorder="1" applyAlignment="1">
      <alignment horizontal="center" vertical="center"/>
    </xf>
    <xf numFmtId="43" fontId="0" fillId="5" borderId="31" xfId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0" fontId="0" fillId="9" borderId="32" xfId="0" applyFill="1" applyBorder="1" applyAlignment="1">
      <alignment horizontal="left" vertical="center"/>
    </xf>
    <xf numFmtId="0" fontId="0" fillId="2" borderId="3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7" fillId="5" borderId="27" xfId="0" applyFont="1" applyFill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43" fontId="0" fillId="5" borderId="28" xfId="1" applyFont="1" applyFill="1" applyBorder="1" applyAlignment="1">
      <alignment vertical="center"/>
    </xf>
    <xf numFmtId="43" fontId="0" fillId="5" borderId="9" xfId="1" applyFont="1" applyFill="1" applyBorder="1" applyAlignment="1">
      <alignment vertical="center"/>
    </xf>
    <xf numFmtId="0" fontId="7" fillId="5" borderId="27" xfId="0" applyFont="1" applyFill="1" applyBorder="1" applyAlignment="1">
      <alignment horizontal="left" vertical="center"/>
    </xf>
    <xf numFmtId="43" fontId="0" fillId="5" borderId="31" xfId="1" applyFont="1" applyFill="1" applyBorder="1" applyAlignment="1">
      <alignment vertical="center"/>
    </xf>
    <xf numFmtId="0" fontId="7" fillId="9" borderId="27" xfId="0" applyFont="1" applyFill="1" applyBorder="1" applyAlignment="1">
      <alignment vertical="center"/>
    </xf>
    <xf numFmtId="14" fontId="0" fillId="5" borderId="26" xfId="0" applyNumberForma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43" fontId="0" fillId="2" borderId="37" xfId="1" applyFont="1" applyFill="1" applyBorder="1" applyAlignment="1">
      <alignment horizontal="center" vertical="center" wrapText="1"/>
    </xf>
    <xf numFmtId="43" fontId="0" fillId="5" borderId="9" xfId="1" applyFont="1" applyFill="1" applyBorder="1" applyAlignment="1">
      <alignment horizontal="center" vertical="center" wrapText="1"/>
    </xf>
    <xf numFmtId="43" fontId="0" fillId="5" borderId="31" xfId="1" applyFont="1" applyFill="1" applyBorder="1" applyAlignment="1">
      <alignment horizontal="center" vertical="center" wrapText="1"/>
    </xf>
    <xf numFmtId="43" fontId="0" fillId="5" borderId="38" xfId="1" applyFont="1" applyFill="1" applyBorder="1" applyAlignment="1">
      <alignment horizontal="center" vertical="center"/>
    </xf>
    <xf numFmtId="43" fontId="0" fillId="5" borderId="37" xfId="1" applyFont="1" applyFill="1" applyBorder="1" applyAlignment="1">
      <alignment horizontal="center" vertical="center"/>
    </xf>
    <xf numFmtId="43" fontId="0" fillId="5" borderId="27" xfId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31" xfId="0" applyFill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28" xfId="1" applyFont="1" applyBorder="1" applyAlignment="1">
      <alignment horizontal="center" vertical="center"/>
    </xf>
    <xf numFmtId="43" fontId="7" fillId="5" borderId="9" xfId="1" applyFont="1" applyFill="1" applyBorder="1" applyAlignment="1">
      <alignment vertical="center"/>
    </xf>
    <xf numFmtId="0" fontId="0" fillId="0" borderId="27" xfId="0" applyBorder="1" applyAlignment="1">
      <alignment vertical="center" wrapText="1"/>
    </xf>
    <xf numFmtId="0" fontId="0" fillId="5" borderId="27" xfId="0" applyFill="1" applyBorder="1" applyAlignment="1">
      <alignment vertical="center" wrapText="1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43" fontId="11" fillId="12" borderId="3" xfId="1" applyFont="1" applyFill="1" applyBorder="1" applyAlignment="1">
      <alignment horizontal="right"/>
    </xf>
    <xf numFmtId="43" fontId="11" fillId="12" borderId="3" xfId="1" applyFont="1" applyFill="1" applyBorder="1"/>
    <xf numFmtId="43" fontId="16" fillId="12" borderId="3" xfId="1" applyFont="1" applyFill="1" applyBorder="1"/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164" fontId="17" fillId="0" borderId="0" xfId="3" applyFont="1" applyAlignment="1">
      <alignment horizontal="right" vertical="center"/>
    </xf>
    <xf numFmtId="43" fontId="18" fillId="0" borderId="0" xfId="1" applyFont="1"/>
    <xf numFmtId="0" fontId="18" fillId="0" borderId="0" xfId="0" applyFont="1" applyAlignment="1">
      <alignment horizontal="center"/>
    </xf>
    <xf numFmtId="0" fontId="18" fillId="0" borderId="0" xfId="2" applyFont="1" applyAlignment="1">
      <alignment vertical="center"/>
    </xf>
    <xf numFmtId="43" fontId="0" fillId="0" borderId="37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0" fillId="0" borderId="0" xfId="0" applyAlignment="1">
      <alignment vertical="center"/>
    </xf>
    <xf numFmtId="43" fontId="0" fillId="0" borderId="39" xfId="1" applyFont="1" applyBorder="1" applyAlignment="1">
      <alignment horizontal="center" vertical="center"/>
    </xf>
    <xf numFmtId="43" fontId="19" fillId="12" borderId="3" xfId="1" applyFont="1" applyFill="1" applyBorder="1" applyAlignment="1">
      <alignment horizontal="right" wrapText="1"/>
    </xf>
    <xf numFmtId="43" fontId="19" fillId="12" borderId="3" xfId="1" applyFont="1" applyFill="1" applyBorder="1"/>
    <xf numFmtId="43" fontId="0" fillId="0" borderId="0" xfId="1" applyFont="1" applyBorder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43" fontId="0" fillId="0" borderId="0" xfId="1" applyFont="1" applyFill="1"/>
    <xf numFmtId="43" fontId="20" fillId="5" borderId="28" xfId="1" applyFont="1" applyFill="1" applyBorder="1" applyAlignment="1">
      <alignment horizontal="center" vertical="center"/>
    </xf>
    <xf numFmtId="43" fontId="6" fillId="5" borderId="31" xfId="1" applyFont="1" applyFill="1" applyBorder="1" applyAlignment="1">
      <alignment horizontal="center" vertical="center"/>
    </xf>
    <xf numFmtId="0" fontId="5" fillId="0" borderId="0" xfId="0" applyFont="1"/>
    <xf numFmtId="43" fontId="5" fillId="2" borderId="37" xfId="1" applyFont="1" applyFill="1" applyBorder="1" applyAlignment="1">
      <alignment horizontal="center" vertical="center" wrapText="1"/>
    </xf>
    <xf numFmtId="43" fontId="5" fillId="5" borderId="9" xfId="1" applyFont="1" applyFill="1" applyBorder="1" applyAlignment="1">
      <alignment horizontal="center" vertical="center"/>
    </xf>
    <xf numFmtId="43" fontId="5" fillId="2" borderId="28" xfId="1" applyFont="1" applyFill="1" applyBorder="1" applyAlignment="1">
      <alignment horizontal="center" vertical="center" wrapText="1"/>
    </xf>
    <xf numFmtId="43" fontId="5" fillId="11" borderId="28" xfId="1" applyFont="1" applyFill="1" applyBorder="1" applyAlignment="1">
      <alignment horizontal="center" vertical="center"/>
    </xf>
    <xf numFmtId="43" fontId="5" fillId="2" borderId="9" xfId="1" applyFont="1" applyFill="1" applyBorder="1" applyAlignment="1">
      <alignment horizontal="center" vertical="center" wrapText="1"/>
    </xf>
    <xf numFmtId="43" fontId="5" fillId="2" borderId="12" xfId="1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center" vertical="center"/>
    </xf>
    <xf numFmtId="43" fontId="4" fillId="13" borderId="9" xfId="1" applyFont="1" applyFill="1" applyBorder="1" applyAlignment="1">
      <alignment horizontal="center" vertical="center"/>
    </xf>
    <xf numFmtId="43" fontId="0" fillId="9" borderId="28" xfId="1" applyFont="1" applyFill="1" applyBorder="1" applyAlignment="1">
      <alignment vertical="center"/>
    </xf>
    <xf numFmtId="43" fontId="0" fillId="9" borderId="9" xfId="1" applyFont="1" applyFill="1" applyBorder="1" applyAlignment="1">
      <alignment vertical="center"/>
    </xf>
    <xf numFmtId="0" fontId="4" fillId="5" borderId="9" xfId="0" applyFont="1" applyFill="1" applyBorder="1" applyAlignment="1">
      <alignment horizontal="center" vertical="center"/>
    </xf>
    <xf numFmtId="43" fontId="4" fillId="5" borderId="9" xfId="1" applyFont="1" applyFill="1" applyBorder="1" applyAlignment="1">
      <alignment horizontal="center" vertical="center"/>
    </xf>
    <xf numFmtId="43" fontId="4" fillId="5" borderId="38" xfId="1" applyFont="1" applyFill="1" applyBorder="1" applyAlignment="1">
      <alignment horizontal="center" vertical="center"/>
    </xf>
    <xf numFmtId="43" fontId="4" fillId="0" borderId="27" xfId="1" applyFont="1" applyBorder="1" applyAlignment="1">
      <alignment horizontal="center" vertical="center"/>
    </xf>
    <xf numFmtId="43" fontId="3" fillId="5" borderId="9" xfId="1" applyFont="1" applyFill="1" applyBorder="1" applyAlignment="1">
      <alignment horizontal="center" vertical="center" wrapText="1"/>
    </xf>
    <xf numFmtId="43" fontId="3" fillId="5" borderId="31" xfId="1" applyFont="1" applyFill="1" applyBorder="1" applyAlignment="1">
      <alignment horizontal="center" vertical="center"/>
    </xf>
    <xf numFmtId="43" fontId="3" fillId="5" borderId="9" xfId="1" applyFont="1" applyFill="1" applyBorder="1" applyAlignment="1">
      <alignment horizontal="center" vertical="center"/>
    </xf>
    <xf numFmtId="43" fontId="3" fillId="5" borderId="28" xfId="1" applyFont="1" applyFill="1" applyBorder="1" applyAlignment="1">
      <alignment vertical="center"/>
    </xf>
    <xf numFmtId="0" fontId="3" fillId="5" borderId="27" xfId="0" applyFont="1" applyFill="1" applyBorder="1" applyAlignment="1">
      <alignment horizontal="left" vertical="center"/>
    </xf>
    <xf numFmtId="0" fontId="3" fillId="9" borderId="27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left" vertical="center"/>
    </xf>
    <xf numFmtId="0" fontId="3" fillId="9" borderId="9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43" fontId="3" fillId="5" borderId="28" xfId="1" applyFont="1" applyFill="1" applyBorder="1" applyAlignment="1">
      <alignment horizontal="center" vertical="center"/>
    </xf>
    <xf numFmtId="43" fontId="3" fillId="5" borderId="38" xfId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43" fontId="0" fillId="0" borderId="0" xfId="1" applyFont="1" applyBorder="1" applyAlignment="1">
      <alignment horizontal="center" vertical="center"/>
    </xf>
    <xf numFmtId="43" fontId="5" fillId="2" borderId="0" xfId="1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vertical="center"/>
    </xf>
    <xf numFmtId="43" fontId="3" fillId="5" borderId="31" xfId="1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14" fontId="3" fillId="5" borderId="26" xfId="0" applyNumberFormat="1" applyFont="1" applyFill="1" applyBorder="1" applyAlignment="1">
      <alignment horizontal="left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 vertical="center" wrapText="1"/>
    </xf>
    <xf numFmtId="0" fontId="3" fillId="5" borderId="2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left" vertical="center"/>
    </xf>
    <xf numFmtId="0" fontId="3" fillId="9" borderId="27" xfId="0" applyFont="1" applyFill="1" applyBorder="1" applyAlignment="1">
      <alignment horizontal="left" vertical="center"/>
    </xf>
    <xf numFmtId="43" fontId="11" fillId="12" borderId="3" xfId="1" applyFont="1" applyFill="1" applyBorder="1" applyAlignment="1">
      <alignment horizontal="center" wrapText="1"/>
    </xf>
    <xf numFmtId="0" fontId="14" fillId="9" borderId="32" xfId="0" applyFont="1" applyFill="1" applyBorder="1" applyAlignment="1">
      <alignment horizontal="left" vertical="center"/>
    </xf>
    <xf numFmtId="43" fontId="3" fillId="5" borderId="28" xfId="1" applyFont="1" applyFill="1" applyBorder="1" applyAlignment="1">
      <alignment horizontal="center" vertical="center" wrapText="1"/>
    </xf>
    <xf numFmtId="43" fontId="3" fillId="5" borderId="37" xfId="1" applyFont="1" applyFill="1" applyBorder="1" applyAlignment="1">
      <alignment horizontal="center" vertical="center"/>
    </xf>
    <xf numFmtId="43" fontId="3" fillId="5" borderId="27" xfId="1" applyFont="1" applyFill="1" applyBorder="1" applyAlignment="1">
      <alignment horizontal="center" vertical="center"/>
    </xf>
    <xf numFmtId="43" fontId="3" fillId="5" borderId="27" xfId="1" applyFont="1" applyFill="1" applyBorder="1" applyAlignment="1">
      <alignment horizontal="center" vertical="center" wrapText="1"/>
    </xf>
    <xf numFmtId="43" fontId="3" fillId="5" borderId="37" xfId="1" applyFont="1" applyFill="1" applyBorder="1" applyAlignment="1">
      <alignment horizontal="center" vertical="center" wrapText="1"/>
    </xf>
    <xf numFmtId="49" fontId="3" fillId="5" borderId="28" xfId="1" applyNumberFormat="1" applyFont="1" applyFill="1" applyBorder="1" applyAlignment="1">
      <alignment horizontal="center" vertical="center"/>
    </xf>
    <xf numFmtId="43" fontId="3" fillId="14" borderId="9" xfId="1" applyFont="1" applyFill="1" applyBorder="1" applyAlignment="1">
      <alignment horizontal="center" vertical="center"/>
    </xf>
    <xf numFmtId="43" fontId="3" fillId="5" borderId="31" xfId="1" applyFont="1" applyFill="1" applyBorder="1" applyAlignment="1">
      <alignment horizontal="right" vertical="center"/>
    </xf>
    <xf numFmtId="43" fontId="0" fillId="5" borderId="31" xfId="1" applyFont="1" applyFill="1" applyBorder="1" applyAlignment="1">
      <alignment horizontal="right" vertical="center"/>
    </xf>
    <xf numFmtId="43" fontId="3" fillId="9" borderId="28" xfId="1" applyFont="1" applyFill="1" applyBorder="1" applyAlignment="1">
      <alignment horizontal="right" vertical="center"/>
    </xf>
    <xf numFmtId="43" fontId="3" fillId="5" borderId="6" xfId="1" applyFont="1" applyFill="1" applyBorder="1" applyAlignment="1">
      <alignment horizontal="right" vertical="center"/>
    </xf>
    <xf numFmtId="164" fontId="17" fillId="0" borderId="0" xfId="3" applyFont="1" applyAlignment="1">
      <alignment horizontal="left" vertical="center"/>
    </xf>
    <xf numFmtId="43" fontId="3" fillId="15" borderId="9" xfId="1" applyFont="1" applyFill="1" applyBorder="1" applyAlignment="1">
      <alignment horizontal="center" vertical="center"/>
    </xf>
    <xf numFmtId="0" fontId="23" fillId="0" borderId="0" xfId="2" applyFont="1" applyAlignment="1">
      <alignment horizontal="left" vertical="center"/>
    </xf>
    <xf numFmtId="43" fontId="0" fillId="5" borderId="30" xfId="1" applyFont="1" applyFill="1" applyBorder="1" applyAlignment="1">
      <alignment horizontal="center" vertical="center"/>
    </xf>
    <xf numFmtId="43" fontId="3" fillId="5" borderId="30" xfId="1" applyFont="1" applyFill="1" applyBorder="1" applyAlignment="1">
      <alignment horizontal="center" vertical="center"/>
    </xf>
    <xf numFmtId="43" fontId="14" fillId="5" borderId="9" xfId="1" applyFont="1" applyFill="1" applyBorder="1" applyAlignment="1">
      <alignment horizontal="center" vertical="center"/>
    </xf>
    <xf numFmtId="164" fontId="24" fillId="0" borderId="0" xfId="3" applyFont="1" applyAlignment="1">
      <alignment horizontal="left" vertical="center"/>
    </xf>
    <xf numFmtId="43" fontId="3" fillId="10" borderId="9" xfId="1" applyFont="1" applyFill="1" applyBorder="1" applyAlignment="1">
      <alignment horizontal="center" vertical="center"/>
    </xf>
    <xf numFmtId="43" fontId="14" fillId="5" borderId="31" xfId="1" applyFont="1" applyFill="1" applyBorder="1" applyAlignment="1">
      <alignment horizontal="center" vertical="center"/>
    </xf>
    <xf numFmtId="43" fontId="19" fillId="12" borderId="3" xfId="1" applyFont="1" applyFill="1" applyBorder="1" applyAlignment="1">
      <alignment horizontal="center" vertical="center" wrapText="1"/>
    </xf>
    <xf numFmtId="43" fontId="25" fillId="12" borderId="3" xfId="1" applyFont="1" applyFill="1" applyBorder="1"/>
    <xf numFmtId="43" fontId="11" fillId="12" borderId="3" xfId="1" applyFont="1" applyFill="1" applyBorder="1" applyAlignment="1">
      <alignment horizontal="center" vertical="center" wrapText="1"/>
    </xf>
    <xf numFmtId="43" fontId="3" fillId="5" borderId="30" xfId="1" applyFont="1" applyFill="1" applyBorder="1" applyAlignment="1">
      <alignment vertical="center"/>
    </xf>
    <xf numFmtId="43" fontId="3" fillId="14" borderId="3" xfId="1" applyFont="1" applyFill="1" applyBorder="1" applyAlignment="1">
      <alignment horizontal="center" vertical="center"/>
    </xf>
    <xf numFmtId="0" fontId="0" fillId="0" borderId="43" xfId="0" applyBorder="1"/>
    <xf numFmtId="0" fontId="0" fillId="0" borderId="40" xfId="0" applyBorder="1"/>
    <xf numFmtId="0" fontId="0" fillId="0" borderId="44" xfId="0" applyBorder="1"/>
    <xf numFmtId="0" fontId="3" fillId="0" borderId="40" xfId="0" applyFont="1" applyBorder="1"/>
    <xf numFmtId="0" fontId="3" fillId="0" borderId="0" xfId="0" applyFont="1"/>
    <xf numFmtId="0" fontId="3" fillId="0" borderId="44" xfId="0" applyFont="1" applyBorder="1"/>
    <xf numFmtId="14" fontId="0" fillId="0" borderId="0" xfId="0" applyNumberFormat="1"/>
    <xf numFmtId="166" fontId="0" fillId="0" borderId="0" xfId="0" applyNumberFormat="1"/>
    <xf numFmtId="0" fontId="3" fillId="14" borderId="44" xfId="0" applyFont="1" applyFill="1" applyBorder="1"/>
    <xf numFmtId="0" fontId="0" fillId="0" borderId="45" xfId="0" applyBorder="1"/>
    <xf numFmtId="0" fontId="0" fillId="0" borderId="1" xfId="0" applyBorder="1"/>
    <xf numFmtId="0" fontId="3" fillId="0" borderId="1" xfId="0" applyFont="1" applyBorder="1"/>
    <xf numFmtId="166" fontId="0" fillId="0" borderId="1" xfId="0" applyNumberFormat="1" applyBorder="1"/>
    <xf numFmtId="0" fontId="0" fillId="0" borderId="46" xfId="0" applyBorder="1"/>
    <xf numFmtId="166" fontId="3" fillId="0" borderId="0" xfId="0" applyNumberFormat="1" applyFont="1"/>
    <xf numFmtId="14" fontId="3" fillId="0" borderId="0" xfId="0" applyNumberFormat="1" applyFont="1"/>
    <xf numFmtId="14" fontId="0" fillId="0" borderId="1" xfId="0" applyNumberFormat="1" applyBorder="1"/>
    <xf numFmtId="166" fontId="3" fillId="0" borderId="1" xfId="0" applyNumberFormat="1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3" fillId="0" borderId="48" xfId="0" applyFont="1" applyBorder="1"/>
    <xf numFmtId="166" fontId="0" fillId="13" borderId="1" xfId="0" applyNumberFormat="1" applyFill="1" applyBorder="1"/>
    <xf numFmtId="43" fontId="3" fillId="5" borderId="30" xfId="1" applyFont="1" applyFill="1" applyBorder="1" applyAlignment="1">
      <alignment horizontal="center" vertical="center" wrapText="1"/>
    </xf>
    <xf numFmtId="0" fontId="27" fillId="0" borderId="0" xfId="7"/>
    <xf numFmtId="0" fontId="0" fillId="13" borderId="8" xfId="0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43" fontId="14" fillId="14" borderId="9" xfId="1" applyFont="1" applyFill="1" applyBorder="1" applyAlignment="1">
      <alignment horizontal="center" vertical="center"/>
    </xf>
    <xf numFmtId="0" fontId="3" fillId="13" borderId="50" xfId="0" applyFont="1" applyFill="1" applyBorder="1" applyAlignment="1">
      <alignment horizontal="center" vertical="center"/>
    </xf>
    <xf numFmtId="0" fontId="0" fillId="16" borderId="40" xfId="0" applyFill="1" applyBorder="1"/>
    <xf numFmtId="14" fontId="0" fillId="16" borderId="0" xfId="0" applyNumberFormat="1" applyFill="1"/>
    <xf numFmtId="0" fontId="2" fillId="16" borderId="0" xfId="0" applyFont="1" applyFill="1"/>
    <xf numFmtId="166" fontId="0" fillId="16" borderId="0" xfId="0" applyNumberFormat="1" applyFill="1"/>
    <xf numFmtId="166" fontId="2" fillId="16" borderId="0" xfId="0" applyNumberFormat="1" applyFont="1" applyFill="1"/>
    <xf numFmtId="0" fontId="0" fillId="16" borderId="0" xfId="0" applyFill="1"/>
    <xf numFmtId="0" fontId="2" fillId="5" borderId="7" xfId="0" applyFont="1" applyFill="1" applyBorder="1" applyAlignment="1">
      <alignment vertical="center"/>
    </xf>
    <xf numFmtId="0" fontId="2" fillId="5" borderId="27" xfId="0" applyFont="1" applyFill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0" xfId="0" applyFont="1"/>
    <xf numFmtId="0" fontId="2" fillId="16" borderId="44" xfId="0" applyFont="1" applyFill="1" applyBorder="1"/>
    <xf numFmtId="166" fontId="2" fillId="0" borderId="0" xfId="0" applyNumberFormat="1" applyFont="1"/>
    <xf numFmtId="43" fontId="14" fillId="14" borderId="3" xfId="1" applyFont="1" applyFill="1" applyBorder="1" applyAlignment="1">
      <alignment horizontal="center" vertical="center"/>
    </xf>
    <xf numFmtId="43" fontId="3" fillId="10" borderId="3" xfId="1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3" fontId="2" fillId="5" borderId="9" xfId="1" applyFont="1" applyFill="1" applyBorder="1" applyAlignment="1">
      <alignment horizontal="center" vertical="center"/>
    </xf>
    <xf numFmtId="43" fontId="2" fillId="5" borderId="31" xfId="1" applyFont="1" applyFill="1" applyBorder="1" applyAlignment="1">
      <alignment horizontal="right" vertical="center"/>
    </xf>
    <xf numFmtId="43" fontId="14" fillId="5" borderId="31" xfId="1" applyFont="1" applyFill="1" applyBorder="1" applyAlignment="1">
      <alignment vertical="center"/>
    </xf>
    <xf numFmtId="43" fontId="1" fillId="17" borderId="9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2" fillId="14" borderId="31" xfId="1" applyFont="1" applyFill="1" applyBorder="1" applyAlignment="1">
      <alignment horizontal="center" vertical="center"/>
    </xf>
    <xf numFmtId="43" fontId="2" fillId="14" borderId="30" xfId="1" applyFont="1" applyFill="1" applyBorder="1" applyAlignment="1">
      <alignment horizontal="center" vertical="center"/>
    </xf>
    <xf numFmtId="43" fontId="2" fillId="14" borderId="28" xfId="1" applyFont="1" applyFill="1" applyBorder="1" applyAlignment="1">
      <alignment horizontal="center" vertical="center"/>
    </xf>
    <xf numFmtId="43" fontId="0" fillId="5" borderId="31" xfId="1" applyFont="1" applyFill="1" applyBorder="1" applyAlignment="1">
      <alignment horizontal="center" vertical="center"/>
    </xf>
    <xf numFmtId="43" fontId="0" fillId="5" borderId="30" xfId="1" applyFont="1" applyFill="1" applyBorder="1" applyAlignment="1">
      <alignment horizontal="center" vertical="center"/>
    </xf>
    <xf numFmtId="43" fontId="0" fillId="5" borderId="28" xfId="1" applyFont="1" applyFill="1" applyBorder="1" applyAlignment="1">
      <alignment horizontal="center" vertical="center"/>
    </xf>
    <xf numFmtId="43" fontId="3" fillId="5" borderId="31" xfId="1" applyFont="1" applyFill="1" applyBorder="1" applyAlignment="1">
      <alignment horizontal="center" vertical="center" wrapText="1"/>
    </xf>
    <xf numFmtId="43" fontId="0" fillId="5" borderId="30" xfId="1" applyFont="1" applyFill="1" applyBorder="1" applyAlignment="1">
      <alignment horizontal="center" vertical="center" wrapText="1"/>
    </xf>
    <xf numFmtId="43" fontId="0" fillId="5" borderId="28" xfId="1" applyFont="1" applyFill="1" applyBorder="1" applyAlignment="1">
      <alignment horizontal="center" vertical="center" wrapText="1"/>
    </xf>
    <xf numFmtId="43" fontId="3" fillId="5" borderId="31" xfId="1" applyFont="1" applyFill="1" applyBorder="1" applyAlignment="1">
      <alignment horizontal="center" vertical="center"/>
    </xf>
    <xf numFmtId="43" fontId="3" fillId="5" borderId="30" xfId="1" applyFont="1" applyFill="1" applyBorder="1" applyAlignment="1">
      <alignment horizontal="center" vertical="center"/>
    </xf>
    <xf numFmtId="43" fontId="3" fillId="5" borderId="28" xfId="1" applyFont="1" applyFill="1" applyBorder="1" applyAlignment="1">
      <alignment horizontal="center" vertical="center"/>
    </xf>
    <xf numFmtId="43" fontId="0" fillId="5" borderId="31" xfId="1" applyFont="1" applyFill="1" applyBorder="1" applyAlignment="1">
      <alignment horizontal="center" vertical="center" wrapText="1"/>
    </xf>
    <xf numFmtId="43" fontId="8" fillId="2" borderId="0" xfId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43" fontId="3" fillId="14" borderId="31" xfId="1" applyFont="1" applyFill="1" applyBorder="1" applyAlignment="1">
      <alignment horizontal="center" vertical="center"/>
    </xf>
    <xf numFmtId="43" fontId="0" fillId="14" borderId="30" xfId="1" applyFont="1" applyFill="1" applyBorder="1" applyAlignment="1">
      <alignment horizontal="center" vertical="center"/>
    </xf>
    <xf numFmtId="43" fontId="0" fillId="14" borderId="28" xfId="1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/>
    </xf>
    <xf numFmtId="0" fontId="12" fillId="7" borderId="22" xfId="0" applyFont="1" applyFill="1" applyBorder="1" applyAlignment="1">
      <alignment horizontal="center"/>
    </xf>
    <xf numFmtId="0" fontId="12" fillId="7" borderId="34" xfId="0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left"/>
    </xf>
    <xf numFmtId="0" fontId="13" fillId="5" borderId="35" xfId="0" applyFont="1" applyFill="1" applyBorder="1" applyAlignment="1">
      <alignment horizontal="left"/>
    </xf>
    <xf numFmtId="0" fontId="13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5" borderId="25" xfId="0" applyFont="1" applyFill="1" applyBorder="1" applyAlignment="1">
      <alignment horizontal="left"/>
    </xf>
    <xf numFmtId="0" fontId="13" fillId="5" borderId="36" xfId="0" applyFont="1" applyFill="1" applyBorder="1" applyAlignment="1">
      <alignment horizontal="left"/>
    </xf>
    <xf numFmtId="43" fontId="3" fillId="5" borderId="29" xfId="1" applyFont="1" applyFill="1" applyBorder="1" applyAlignment="1">
      <alignment horizontal="center" vertical="center" wrapText="1"/>
    </xf>
    <xf numFmtId="43" fontId="3" fillId="5" borderId="29" xfId="1" applyFont="1" applyFill="1" applyBorder="1" applyAlignment="1">
      <alignment horizontal="center" vertical="center"/>
    </xf>
    <xf numFmtId="43" fontId="0" fillId="5" borderId="29" xfId="1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/>
    </xf>
    <xf numFmtId="16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43" fontId="14" fillId="5" borderId="30" xfId="1" applyFont="1" applyFill="1" applyBorder="1" applyAlignment="1">
      <alignment horizontal="center" vertical="center"/>
    </xf>
    <xf numFmtId="43" fontId="14" fillId="5" borderId="28" xfId="1" applyFont="1" applyFill="1" applyBorder="1" applyAlignment="1">
      <alignment horizontal="center" vertical="center"/>
    </xf>
    <xf numFmtId="43" fontId="11" fillId="12" borderId="13" xfId="1" applyFont="1" applyFill="1" applyBorder="1" applyAlignment="1">
      <alignment horizontal="right"/>
    </xf>
    <xf numFmtId="43" fontId="11" fillId="12" borderId="2" xfId="1" applyFont="1" applyFill="1" applyBorder="1" applyAlignment="1">
      <alignment horizontal="right"/>
    </xf>
    <xf numFmtId="43" fontId="11" fillId="12" borderId="14" xfId="1" applyFont="1" applyFill="1" applyBorder="1" applyAlignment="1">
      <alignment horizontal="right"/>
    </xf>
    <xf numFmtId="0" fontId="18" fillId="0" borderId="0" xfId="2" applyFont="1" applyAlignment="1">
      <alignment horizontal="center" vertical="center"/>
    </xf>
    <xf numFmtId="43" fontId="4" fillId="5" borderId="30" xfId="1" applyFont="1" applyFill="1" applyBorder="1" applyAlignment="1">
      <alignment horizontal="center" vertical="center"/>
    </xf>
    <xf numFmtId="43" fontId="4" fillId="5" borderId="28" xfId="1" applyFont="1" applyFill="1" applyBorder="1" applyAlignment="1">
      <alignment horizontal="center" vertical="center"/>
    </xf>
    <xf numFmtId="43" fontId="3" fillId="5" borderId="30" xfId="1" applyFont="1" applyFill="1" applyBorder="1" applyAlignment="1">
      <alignment horizontal="center" vertical="center" wrapText="1"/>
    </xf>
    <xf numFmtId="43" fontId="15" fillId="5" borderId="30" xfId="1" applyFont="1" applyFill="1" applyBorder="1" applyAlignment="1">
      <alignment horizontal="center" vertical="center" wrapText="1"/>
    </xf>
    <xf numFmtId="43" fontId="15" fillId="5" borderId="28" xfId="1" applyFont="1" applyFill="1" applyBorder="1" applyAlignment="1">
      <alignment horizontal="center" vertical="center" wrapText="1"/>
    </xf>
    <xf numFmtId="43" fontId="3" fillId="5" borderId="28" xfId="1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11" fillId="12" borderId="14" xfId="0" applyFont="1" applyFill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43" fontId="8" fillId="3" borderId="0" xfId="1" applyFont="1" applyFill="1" applyAlignment="1">
      <alignment horizontal="center" vertical="center"/>
    </xf>
  </cellXfs>
  <cellStyles count="8">
    <cellStyle name="Hiperlink" xfId="7" builtinId="8"/>
    <cellStyle name="Normal" xfId="0" builtinId="0"/>
    <cellStyle name="Normal 2" xfId="2" xr:uid="{00000000-0005-0000-0000-000031000000}"/>
    <cellStyle name="Vírgula" xfId="1" builtinId="3"/>
    <cellStyle name="Vírgula 2" xfId="3" xr:uid="{00000000-0005-0000-0000-000032000000}"/>
    <cellStyle name="Vírgula 2 2" xfId="4" xr:uid="{00000000-0005-0000-0000-000033000000}"/>
    <cellStyle name="Vírgula 3" xfId="5" xr:uid="{00000000-0005-0000-0000-000034000000}"/>
    <cellStyle name="Vírgula 4" xfId="6" xr:uid="{00000000-0005-0000-0000-000035000000}"/>
  </cellStyles>
  <dxfs count="0"/>
  <tableStyles count="0" defaultTableStyle="TableStyleMedium2" defaultPivotStyle="PivotStyleLight16"/>
  <colors>
    <mruColors>
      <color rgb="FFE8977E"/>
      <color rgb="FFEF5347"/>
      <color rgb="FFF48C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2</xdr:row>
      <xdr:rowOff>110104</xdr:rowOff>
    </xdr:from>
    <xdr:to>
      <xdr:col>13</xdr:col>
      <xdr:colOff>4376</xdr:colOff>
      <xdr:row>7</xdr:row>
      <xdr:rowOff>565943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01075" y="490855"/>
          <a:ext cx="11357610" cy="1484630"/>
        </a:xfrm>
        <a:prstGeom prst="rect">
          <a:avLst/>
        </a:prstGeom>
        <a:solidFill>
          <a:srgbClr val="3A4A36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dobe Myungjo Std M" panose="02020600000000000000" pitchFamily="18" charset="-128"/>
              <a:ea typeface="Adobe Myungjo Std M" panose="02020600000000000000" pitchFamily="18" charset="-128"/>
            </a:rPr>
            <a:t>ADMINISTRAÇÃO DE OBRA E CONTROLE DE SERVIÇOS</a:t>
          </a:r>
        </a:p>
      </xdr:txBody>
    </xdr:sp>
    <xdr:clientData/>
  </xdr:twoCellAnchor>
  <xdr:twoCellAnchor editAs="oneCell">
    <xdr:from>
      <xdr:col>0</xdr:col>
      <xdr:colOff>1166627</xdr:colOff>
      <xdr:row>0</xdr:row>
      <xdr:rowOff>88604</xdr:rowOff>
    </xdr:from>
    <xdr:to>
      <xdr:col>2</xdr:col>
      <xdr:colOff>5279617</xdr:colOff>
      <xdr:row>7</xdr:row>
      <xdr:rowOff>755005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27" y="88604"/>
          <a:ext cx="7109340" cy="2084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2562225</xdr:colOff>
      <xdr:row>7</xdr:row>
      <xdr:rowOff>64770</xdr:rowOff>
    </xdr:to>
    <xdr:pic>
      <xdr:nvPicPr>
        <xdr:cNvPr id="2" name="Imagem 1" descr="C:\Users\acpaula\AppData\Local\Microsoft\Windows\Temporary Internet Files\Content.Outlook\A2SEDJW5\logoo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0"/>
          <a:ext cx="4524375" cy="1398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ercadolivre.com.br/geladeira-electrolux-tf39-frost-free-310l-duplex-branca/p/MLB10816320?pdp_filters=item_id%3AMLB2797892680&amp;attributes=COLOR%3ABranco" TargetMode="External"/><Relationship Id="rId1" Type="http://schemas.openxmlformats.org/officeDocument/2006/relationships/hyperlink" Target="https://site.fastshop.com.br/smart-tv-samsung-qled-4k-65--polegadas-65q60dto-2024-modo-game--som-em-movimento--tela-sem-limites-e-wi-fi-sgqn65q60dto_prd-4476/p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16"/>
  <sheetViews>
    <sheetView showGridLines="0" tabSelected="1" topLeftCell="A32" zoomScale="55" zoomScaleNormal="55" workbookViewId="0">
      <selection activeCell="F45" sqref="F16:F45"/>
    </sheetView>
  </sheetViews>
  <sheetFormatPr defaultColWidth="9" defaultRowHeight="15"/>
  <cols>
    <col min="1" max="1" width="23.42578125" customWidth="1"/>
    <col min="2" max="2" width="15.7109375" customWidth="1"/>
    <col min="3" max="3" width="90.7109375" customWidth="1"/>
    <col min="4" max="5" width="15.7109375" style="4" customWidth="1"/>
    <col min="6" max="6" width="24" style="5" bestFit="1" customWidth="1"/>
    <col min="7" max="7" width="31" style="5" bestFit="1" customWidth="1"/>
    <col min="8" max="8" width="22.42578125" style="5" bestFit="1" customWidth="1"/>
    <col min="9" max="9" width="19" style="5" customWidth="1"/>
    <col min="10" max="12" width="20.7109375" style="5" customWidth="1"/>
    <col min="13" max="13" width="20.7109375" style="113" customWidth="1"/>
    <col min="14" max="14" width="13.42578125" customWidth="1"/>
    <col min="15" max="15" width="10.85546875" customWidth="1"/>
  </cols>
  <sheetData>
    <row r="1" spans="1:19" ht="15" customHeight="1">
      <c r="D1" s="249"/>
      <c r="E1" s="249"/>
      <c r="F1" s="249"/>
      <c r="G1" s="249"/>
      <c r="H1" s="249"/>
      <c r="I1" s="249"/>
      <c r="J1" s="249"/>
      <c r="K1" s="249"/>
      <c r="L1" s="249"/>
      <c r="M1" s="249"/>
    </row>
    <row r="2" spans="1:19" ht="15" customHeight="1">
      <c r="D2" s="249"/>
      <c r="E2" s="249"/>
      <c r="F2" s="249"/>
      <c r="G2" s="249"/>
      <c r="H2" s="249"/>
      <c r="I2" s="249"/>
      <c r="J2" s="249"/>
      <c r="K2" s="249"/>
      <c r="L2" s="249"/>
      <c r="M2" s="249"/>
    </row>
    <row r="3" spans="1:19" ht="15" customHeight="1">
      <c r="D3" s="249"/>
      <c r="E3" s="249"/>
      <c r="F3" s="249"/>
      <c r="G3" s="249"/>
      <c r="H3" s="249"/>
      <c r="I3" s="249"/>
      <c r="J3" s="249"/>
      <c r="K3" s="249"/>
      <c r="L3" s="249"/>
      <c r="M3" s="249"/>
    </row>
    <row r="4" spans="1:19" ht="15" customHeight="1">
      <c r="D4" s="249"/>
      <c r="E4" s="249"/>
      <c r="F4" s="249"/>
      <c r="G4" s="249"/>
      <c r="H4" s="249"/>
      <c r="I4" s="249"/>
      <c r="J4" s="249"/>
      <c r="K4" s="249"/>
      <c r="L4" s="249"/>
      <c r="M4" s="249"/>
    </row>
    <row r="5" spans="1:19" ht="15" customHeight="1">
      <c r="D5" s="249"/>
      <c r="E5" s="249"/>
      <c r="F5" s="249"/>
      <c r="G5" s="249"/>
      <c r="H5" s="249"/>
      <c r="I5" s="249"/>
      <c r="J5" s="249"/>
      <c r="K5" s="249"/>
      <c r="L5" s="249"/>
      <c r="M5" s="249"/>
    </row>
    <row r="6" spans="1:19" ht="15" customHeight="1">
      <c r="D6" s="249"/>
      <c r="E6" s="249"/>
      <c r="F6" s="249"/>
      <c r="G6" s="249"/>
      <c r="H6" s="249"/>
      <c r="I6" s="249"/>
      <c r="J6" s="249"/>
      <c r="K6" s="249"/>
      <c r="L6" s="249"/>
      <c r="M6" s="249"/>
    </row>
    <row r="7" spans="1:19" ht="21" customHeight="1">
      <c r="D7" s="249"/>
      <c r="E7" s="249"/>
      <c r="F7" s="249"/>
      <c r="G7" s="249"/>
      <c r="H7" s="249"/>
      <c r="I7" s="249"/>
      <c r="J7" s="249"/>
      <c r="K7" s="249"/>
      <c r="L7" s="249"/>
      <c r="M7" s="249"/>
    </row>
    <row r="8" spans="1:19" ht="73.5" customHeight="1" thickBot="1">
      <c r="D8" s="40"/>
      <c r="E8"/>
      <c r="F8" s="40"/>
      <c r="G8" s="40"/>
      <c r="H8" s="40"/>
      <c r="I8" s="40"/>
      <c r="J8" s="40"/>
      <c r="K8" s="40"/>
      <c r="L8" s="40"/>
    </row>
    <row r="9" spans="1:19" s="1" customFormat="1" ht="21.75" thickTop="1">
      <c r="A9" s="254" t="s">
        <v>0</v>
      </c>
      <c r="B9" s="255"/>
      <c r="C9" s="255"/>
      <c r="D9" s="255"/>
      <c r="E9" s="255"/>
      <c r="F9" s="255"/>
      <c r="G9" s="255"/>
      <c r="H9" s="255"/>
      <c r="I9" s="255"/>
      <c r="J9" s="255"/>
      <c r="K9" s="255"/>
      <c r="L9" s="255"/>
      <c r="M9" s="256"/>
    </row>
    <row r="10" spans="1:19" s="2" customFormat="1" ht="21">
      <c r="A10" s="257" t="s">
        <v>1</v>
      </c>
      <c r="B10" s="258"/>
      <c r="C10" s="259" t="s">
        <v>428</v>
      </c>
      <c r="D10" s="259"/>
      <c r="E10" s="259"/>
      <c r="F10" s="259"/>
      <c r="G10" s="259"/>
      <c r="H10" s="259"/>
      <c r="I10" s="259"/>
      <c r="J10" s="259"/>
      <c r="K10" s="259"/>
      <c r="L10" s="259"/>
      <c r="M10" s="260"/>
      <c r="R10" s="1"/>
    </row>
    <row r="11" spans="1:19" s="2" customFormat="1" ht="21">
      <c r="A11" s="261" t="s">
        <v>2</v>
      </c>
      <c r="B11" s="262"/>
      <c r="C11" s="263" t="s">
        <v>429</v>
      </c>
      <c r="D11" s="263"/>
      <c r="E11" s="263"/>
      <c r="F11" s="263"/>
      <c r="G11" s="263"/>
      <c r="H11" s="263"/>
      <c r="I11" s="263"/>
      <c r="J11" s="263"/>
      <c r="K11" s="263"/>
      <c r="L11" s="263"/>
      <c r="M11" s="264"/>
      <c r="R11" s="1"/>
    </row>
    <row r="12" spans="1:19" s="3" customFormat="1">
      <c r="D12" s="10"/>
      <c r="E12" s="10"/>
      <c r="F12" s="11"/>
      <c r="G12" s="11"/>
      <c r="H12" s="11"/>
      <c r="I12" s="11"/>
      <c r="J12" s="11"/>
      <c r="K12" s="11"/>
      <c r="L12" s="11"/>
      <c r="R12" s="1"/>
    </row>
    <row r="13" spans="1:19" ht="40.5" customHeight="1">
      <c r="A13" s="41" t="s">
        <v>420</v>
      </c>
      <c r="B13" s="41" t="s">
        <v>3</v>
      </c>
      <c r="C13" s="41" t="s">
        <v>4</v>
      </c>
      <c r="D13" s="41" t="s">
        <v>5</v>
      </c>
      <c r="E13" s="41" t="s">
        <v>6</v>
      </c>
      <c r="F13" s="41" t="s">
        <v>8</v>
      </c>
      <c r="G13" s="42" t="s">
        <v>7</v>
      </c>
      <c r="H13" s="42" t="s">
        <v>9</v>
      </c>
      <c r="I13" s="41" t="s">
        <v>10</v>
      </c>
      <c r="J13" s="41" t="s">
        <v>11</v>
      </c>
      <c r="K13" s="41" t="s">
        <v>293</v>
      </c>
      <c r="L13" s="41" t="s">
        <v>12</v>
      </c>
      <c r="M13" s="41" t="s">
        <v>13</v>
      </c>
    </row>
    <row r="14" spans="1:19" s="39" customFormat="1" ht="30" customHeight="1">
      <c r="A14" s="43"/>
      <c r="B14" s="44"/>
      <c r="C14" s="45"/>
      <c r="D14" s="46"/>
      <c r="E14" s="46"/>
      <c r="F14" s="47"/>
      <c r="G14" s="47"/>
      <c r="H14" s="48"/>
      <c r="I14" s="48"/>
      <c r="J14" s="72"/>
      <c r="K14" s="72"/>
      <c r="L14" s="72"/>
      <c r="M14" s="114"/>
    </row>
    <row r="15" spans="1:19" s="39" customFormat="1" ht="30" customHeight="1">
      <c r="A15" s="41">
        <v>1</v>
      </c>
      <c r="B15" s="41"/>
      <c r="C15" s="41" t="s">
        <v>14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/>
      <c r="O15"/>
      <c r="P15"/>
      <c r="R15"/>
      <c r="S15"/>
    </row>
    <row r="16" spans="1:19" s="39" customFormat="1" ht="30" customHeight="1">
      <c r="A16" s="149" t="s">
        <v>153</v>
      </c>
      <c r="B16" s="50" t="s">
        <v>15</v>
      </c>
      <c r="C16" s="135" t="s">
        <v>292</v>
      </c>
      <c r="D16" s="52">
        <v>1</v>
      </c>
      <c r="E16" s="52" t="s">
        <v>20</v>
      </c>
      <c r="F16" s="266">
        <v>17290.240000000002</v>
      </c>
      <c r="G16" s="266">
        <v>17290.240000000002</v>
      </c>
      <c r="H16" s="267">
        <f t="shared" ref="H16:H39" si="0">G16-F16</f>
        <v>0</v>
      </c>
      <c r="I16" s="265" t="s">
        <v>431</v>
      </c>
      <c r="J16" s="132" t="s">
        <v>297</v>
      </c>
      <c r="K16" s="132" t="s">
        <v>296</v>
      </c>
      <c r="L16" s="166" t="s">
        <v>326</v>
      </c>
      <c r="M16" s="166" t="s">
        <v>325</v>
      </c>
      <c r="N16"/>
      <c r="O16"/>
      <c r="P16"/>
      <c r="R16"/>
      <c r="S16"/>
    </row>
    <row r="17" spans="1:19" s="39" customFormat="1" ht="30" customHeight="1">
      <c r="A17" s="149" t="s">
        <v>153</v>
      </c>
      <c r="B17" s="50" t="s">
        <v>17</v>
      </c>
      <c r="C17" s="135" t="s">
        <v>376</v>
      </c>
      <c r="D17" s="52">
        <v>1</v>
      </c>
      <c r="E17" s="138" t="s">
        <v>20</v>
      </c>
      <c r="F17" s="246"/>
      <c r="G17" s="246"/>
      <c r="H17" s="240"/>
      <c r="I17" s="243"/>
      <c r="J17" s="132" t="s">
        <v>297</v>
      </c>
      <c r="K17" s="132" t="s">
        <v>296</v>
      </c>
      <c r="L17" s="166" t="s">
        <v>326</v>
      </c>
      <c r="M17" s="166" t="s">
        <v>325</v>
      </c>
      <c r="N17"/>
      <c r="O17"/>
      <c r="P17"/>
      <c r="R17"/>
      <c r="S17"/>
    </row>
    <row r="18" spans="1:19" s="39" customFormat="1" ht="30" customHeight="1">
      <c r="A18" s="149" t="s">
        <v>153</v>
      </c>
      <c r="B18" s="50" t="s">
        <v>19</v>
      </c>
      <c r="C18" s="135" t="s">
        <v>288</v>
      </c>
      <c r="D18" s="52">
        <v>1</v>
      </c>
      <c r="E18" s="52" t="s">
        <v>20</v>
      </c>
      <c r="F18" s="246"/>
      <c r="G18" s="246"/>
      <c r="H18" s="240"/>
      <c r="I18" s="243"/>
      <c r="J18" s="132" t="s">
        <v>297</v>
      </c>
      <c r="K18" s="132" t="s">
        <v>296</v>
      </c>
      <c r="L18" s="166" t="s">
        <v>326</v>
      </c>
      <c r="M18" s="166" t="s">
        <v>325</v>
      </c>
      <c r="N18"/>
      <c r="O18"/>
      <c r="P18"/>
      <c r="R18"/>
      <c r="S18"/>
    </row>
    <row r="19" spans="1:19" s="39" customFormat="1" ht="30" customHeight="1">
      <c r="A19" s="149" t="s">
        <v>153</v>
      </c>
      <c r="B19" s="50" t="s">
        <v>21</v>
      </c>
      <c r="C19" s="135" t="s">
        <v>281</v>
      </c>
      <c r="D19" s="52">
        <v>1</v>
      </c>
      <c r="E19" s="52" t="s">
        <v>20</v>
      </c>
      <c r="F19" s="246"/>
      <c r="G19" s="246"/>
      <c r="H19" s="240"/>
      <c r="I19" s="243"/>
      <c r="J19" s="132" t="s">
        <v>297</v>
      </c>
      <c r="K19" s="132" t="s">
        <v>296</v>
      </c>
      <c r="L19" s="166" t="s">
        <v>326</v>
      </c>
      <c r="M19" s="166" t="s">
        <v>325</v>
      </c>
      <c r="N19"/>
      <c r="O19"/>
      <c r="P19"/>
      <c r="R19"/>
      <c r="S19"/>
    </row>
    <row r="20" spans="1:19" s="39" customFormat="1" ht="30" customHeight="1">
      <c r="A20" s="149" t="s">
        <v>153</v>
      </c>
      <c r="B20" s="50" t="s">
        <v>22</v>
      </c>
      <c r="C20" s="157" t="s">
        <v>284</v>
      </c>
      <c r="D20" s="52">
        <v>1</v>
      </c>
      <c r="E20" s="52" t="s">
        <v>20</v>
      </c>
      <c r="F20" s="247"/>
      <c r="G20" s="247"/>
      <c r="H20" s="241"/>
      <c r="I20" s="244"/>
      <c r="J20" s="132" t="s">
        <v>297</v>
      </c>
      <c r="K20" s="132" t="s">
        <v>296</v>
      </c>
      <c r="L20" s="166" t="s">
        <v>326</v>
      </c>
      <c r="M20" s="166" t="s">
        <v>325</v>
      </c>
      <c r="N20"/>
      <c r="O20"/>
      <c r="P20"/>
      <c r="R20"/>
      <c r="S20"/>
    </row>
    <row r="21" spans="1:19" s="39" customFormat="1" ht="30" customHeight="1">
      <c r="A21" s="149" t="s">
        <v>395</v>
      </c>
      <c r="B21" s="50" t="s">
        <v>23</v>
      </c>
      <c r="C21" s="157" t="s">
        <v>384</v>
      </c>
      <c r="D21" s="52">
        <v>1</v>
      </c>
      <c r="E21" s="52" t="s">
        <v>20</v>
      </c>
      <c r="F21" s="183">
        <v>1</v>
      </c>
      <c r="G21" s="183">
        <v>1</v>
      </c>
      <c r="H21" s="55">
        <f t="shared" si="0"/>
        <v>0</v>
      </c>
      <c r="I21" s="73"/>
      <c r="J21" s="132" t="s">
        <v>297</v>
      </c>
      <c r="K21" s="132" t="s">
        <v>296</v>
      </c>
      <c r="L21" s="166" t="s">
        <v>326</v>
      </c>
      <c r="M21" s="166" t="s">
        <v>325</v>
      </c>
      <c r="N21"/>
      <c r="O21"/>
      <c r="P21"/>
      <c r="R21"/>
      <c r="S21"/>
    </row>
    <row r="22" spans="1:19" s="39" customFormat="1" ht="30" customHeight="1">
      <c r="A22" s="149" t="s">
        <v>395</v>
      </c>
      <c r="B22" s="50" t="s">
        <v>24</v>
      </c>
      <c r="C22" s="157" t="s">
        <v>400</v>
      </c>
      <c r="D22" s="52">
        <v>1</v>
      </c>
      <c r="E22" s="52" t="s">
        <v>20</v>
      </c>
      <c r="F22" s="132">
        <v>1</v>
      </c>
      <c r="G22" s="132">
        <v>1</v>
      </c>
      <c r="H22" s="55">
        <f t="shared" si="0"/>
        <v>0</v>
      </c>
      <c r="I22" s="73"/>
      <c r="J22" s="132" t="s">
        <v>297</v>
      </c>
      <c r="K22" s="132" t="s">
        <v>296</v>
      </c>
      <c r="L22" s="166" t="s">
        <v>326</v>
      </c>
      <c r="M22" s="166" t="s">
        <v>325</v>
      </c>
      <c r="N22"/>
      <c r="O22"/>
      <c r="P22"/>
      <c r="R22"/>
      <c r="S22"/>
    </row>
    <row r="23" spans="1:19" s="39" customFormat="1" ht="30" customHeight="1">
      <c r="A23" s="149" t="s">
        <v>289</v>
      </c>
      <c r="B23" s="50" t="s">
        <v>26</v>
      </c>
      <c r="C23" s="157" t="s">
        <v>294</v>
      </c>
      <c r="D23" s="52">
        <v>1</v>
      </c>
      <c r="E23" s="52" t="s">
        <v>20</v>
      </c>
      <c r="F23" s="245">
        <v>10906.75</v>
      </c>
      <c r="G23" s="245">
        <v>10906.75</v>
      </c>
      <c r="H23" s="239">
        <f t="shared" si="0"/>
        <v>0</v>
      </c>
      <c r="I23" s="242" t="s">
        <v>431</v>
      </c>
      <c r="J23" s="132" t="s">
        <v>297</v>
      </c>
      <c r="K23" s="132" t="s">
        <v>296</v>
      </c>
      <c r="L23" s="166" t="s">
        <v>326</v>
      </c>
      <c r="M23" s="166" t="s">
        <v>325</v>
      </c>
      <c r="N23"/>
      <c r="O23"/>
      <c r="P23"/>
      <c r="R23"/>
      <c r="S23"/>
    </row>
    <row r="24" spans="1:19" s="39" customFormat="1" ht="30" customHeight="1">
      <c r="A24" s="149" t="s">
        <v>289</v>
      </c>
      <c r="B24" s="50" t="s">
        <v>27</v>
      </c>
      <c r="C24" s="157" t="s">
        <v>291</v>
      </c>
      <c r="D24" s="52">
        <v>1</v>
      </c>
      <c r="E24" s="52" t="s">
        <v>20</v>
      </c>
      <c r="F24" s="247"/>
      <c r="G24" s="247"/>
      <c r="H24" s="241"/>
      <c r="I24" s="244"/>
      <c r="J24" s="132" t="s">
        <v>297</v>
      </c>
      <c r="K24" s="132" t="s">
        <v>296</v>
      </c>
      <c r="L24" s="166" t="s">
        <v>326</v>
      </c>
      <c r="M24" s="166" t="s">
        <v>325</v>
      </c>
      <c r="N24"/>
      <c r="O24"/>
      <c r="P24"/>
      <c r="R24"/>
      <c r="S24"/>
    </row>
    <row r="25" spans="1:19" s="39" customFormat="1" ht="30" customHeight="1">
      <c r="A25" s="149" t="s">
        <v>179</v>
      </c>
      <c r="B25" s="50" t="s">
        <v>28</v>
      </c>
      <c r="C25" s="157" t="s">
        <v>403</v>
      </c>
      <c r="D25" s="52">
        <v>1</v>
      </c>
      <c r="E25" s="52" t="s">
        <v>20</v>
      </c>
      <c r="F25" s="141">
        <v>1</v>
      </c>
      <c r="G25" s="141">
        <v>1</v>
      </c>
      <c r="H25" s="54"/>
      <c r="I25" s="73"/>
      <c r="J25" s="132" t="s">
        <v>297</v>
      </c>
      <c r="K25" s="132" t="s">
        <v>296</v>
      </c>
      <c r="L25" s="166" t="s">
        <v>326</v>
      </c>
      <c r="M25" s="166" t="s">
        <v>325</v>
      </c>
      <c r="N25"/>
      <c r="O25"/>
      <c r="P25"/>
      <c r="R25"/>
      <c r="S25"/>
    </row>
    <row r="26" spans="1:19" s="39" customFormat="1" ht="30" customHeight="1">
      <c r="A26" s="149" t="s">
        <v>153</v>
      </c>
      <c r="B26" s="50" t="s">
        <v>30</v>
      </c>
      <c r="C26" s="157" t="s">
        <v>282</v>
      </c>
      <c r="D26" s="52">
        <v>1</v>
      </c>
      <c r="E26" s="52" t="s">
        <v>20</v>
      </c>
      <c r="F26" s="132">
        <v>1136.1199999999999</v>
      </c>
      <c r="G26" s="132">
        <v>1136.1199999999999</v>
      </c>
      <c r="H26" s="54">
        <f t="shared" si="0"/>
        <v>0</v>
      </c>
      <c r="I26" s="130" t="s">
        <v>431</v>
      </c>
      <c r="J26" s="132" t="s">
        <v>297</v>
      </c>
      <c r="K26" s="132" t="s">
        <v>296</v>
      </c>
      <c r="L26" s="166" t="s">
        <v>326</v>
      </c>
      <c r="M26" s="166" t="s">
        <v>325</v>
      </c>
      <c r="N26"/>
      <c r="O26"/>
      <c r="P26"/>
      <c r="R26"/>
      <c r="S26"/>
    </row>
    <row r="27" spans="1:19" s="39" customFormat="1" ht="30" customHeight="1">
      <c r="A27" s="149" t="s">
        <v>153</v>
      </c>
      <c r="B27" s="50" t="s">
        <v>32</v>
      </c>
      <c r="C27" s="157" t="s">
        <v>279</v>
      </c>
      <c r="D27" s="52">
        <v>113</v>
      </c>
      <c r="E27" s="52" t="s">
        <v>16</v>
      </c>
      <c r="F27" s="245">
        <v>51037.279999999999</v>
      </c>
      <c r="G27" s="245">
        <v>51037.279999999999</v>
      </c>
      <c r="H27" s="239">
        <f t="shared" si="0"/>
        <v>0</v>
      </c>
      <c r="I27" s="242" t="s">
        <v>431</v>
      </c>
      <c r="J27" s="132" t="s">
        <v>297</v>
      </c>
      <c r="K27" s="132" t="s">
        <v>296</v>
      </c>
      <c r="L27" s="166" t="s">
        <v>326</v>
      </c>
      <c r="M27" s="166" t="s">
        <v>325</v>
      </c>
      <c r="N27"/>
      <c r="O27"/>
      <c r="P27"/>
      <c r="R27"/>
      <c r="S27"/>
    </row>
    <row r="28" spans="1:19" s="39" customFormat="1" ht="30" customHeight="1">
      <c r="A28" s="149" t="s">
        <v>153</v>
      </c>
      <c r="B28" s="50" t="s">
        <v>33</v>
      </c>
      <c r="C28" s="157" t="s">
        <v>375</v>
      </c>
      <c r="D28" s="52">
        <v>22</v>
      </c>
      <c r="E28" s="52" t="s">
        <v>16</v>
      </c>
      <c r="F28" s="246"/>
      <c r="G28" s="246"/>
      <c r="H28" s="240"/>
      <c r="I28" s="243"/>
      <c r="J28" s="132" t="s">
        <v>297</v>
      </c>
      <c r="K28" s="132" t="s">
        <v>296</v>
      </c>
      <c r="L28" s="166" t="s">
        <v>326</v>
      </c>
      <c r="M28" s="166" t="s">
        <v>325</v>
      </c>
      <c r="N28"/>
      <c r="O28"/>
      <c r="P28"/>
      <c r="R28"/>
      <c r="S28"/>
    </row>
    <row r="29" spans="1:19" s="39" customFormat="1" ht="30" customHeight="1">
      <c r="A29" s="149" t="s">
        <v>153</v>
      </c>
      <c r="B29" s="50" t="s">
        <v>34</v>
      </c>
      <c r="C29" s="157" t="s">
        <v>278</v>
      </c>
      <c r="D29" s="52">
        <v>68</v>
      </c>
      <c r="E29" s="52" t="s">
        <v>16</v>
      </c>
      <c r="F29" s="247"/>
      <c r="G29" s="247"/>
      <c r="H29" s="241"/>
      <c r="I29" s="244"/>
      <c r="J29" s="132" t="s">
        <v>297</v>
      </c>
      <c r="K29" s="132" t="s">
        <v>296</v>
      </c>
      <c r="L29" s="166" t="s">
        <v>326</v>
      </c>
      <c r="M29" s="166" t="s">
        <v>325</v>
      </c>
      <c r="N29"/>
      <c r="O29"/>
      <c r="P29"/>
      <c r="R29"/>
      <c r="S29"/>
    </row>
    <row r="30" spans="1:19" s="39" customFormat="1" ht="30" customHeight="1">
      <c r="A30" s="149" t="s">
        <v>396</v>
      </c>
      <c r="B30" s="50" t="s">
        <v>35</v>
      </c>
      <c r="C30" s="157" t="s">
        <v>379</v>
      </c>
      <c r="D30" s="138" t="s">
        <v>385</v>
      </c>
      <c r="E30" s="52" t="s">
        <v>16</v>
      </c>
      <c r="F30" s="175">
        <v>8223.27</v>
      </c>
      <c r="G30" s="175">
        <v>8223.27</v>
      </c>
      <c r="H30" s="174"/>
      <c r="I30" s="74"/>
      <c r="J30" s="132" t="s">
        <v>297</v>
      </c>
      <c r="K30" s="132" t="s">
        <v>296</v>
      </c>
      <c r="L30" s="166" t="s">
        <v>326</v>
      </c>
      <c r="M30" s="166" t="s">
        <v>325</v>
      </c>
      <c r="N30"/>
      <c r="O30"/>
      <c r="P30"/>
      <c r="R30"/>
      <c r="S30"/>
    </row>
    <row r="31" spans="1:19" s="39" customFormat="1" ht="30" customHeight="1">
      <c r="A31" s="149" t="s">
        <v>153</v>
      </c>
      <c r="B31" s="50" t="s">
        <v>118</v>
      </c>
      <c r="C31" s="157" t="s">
        <v>285</v>
      </c>
      <c r="D31" s="52">
        <v>1</v>
      </c>
      <c r="E31" s="52" t="s">
        <v>20</v>
      </c>
      <c r="F31" s="245">
        <v>22667.86</v>
      </c>
      <c r="G31" s="239">
        <v>22667.86</v>
      </c>
      <c r="H31" s="239">
        <f t="shared" si="0"/>
        <v>0</v>
      </c>
      <c r="I31" s="242" t="s">
        <v>431</v>
      </c>
      <c r="J31" s="132" t="s">
        <v>297</v>
      </c>
      <c r="K31" s="132" t="s">
        <v>296</v>
      </c>
      <c r="L31" s="166" t="s">
        <v>326</v>
      </c>
      <c r="M31" s="166" t="s">
        <v>377</v>
      </c>
      <c r="N31"/>
      <c r="O31"/>
      <c r="P31"/>
      <c r="R31"/>
      <c r="S31"/>
    </row>
    <row r="32" spans="1:19" s="39" customFormat="1" ht="30" customHeight="1">
      <c r="A32" s="149" t="s">
        <v>153</v>
      </c>
      <c r="B32" s="50" t="s">
        <v>119</v>
      </c>
      <c r="C32" s="157" t="s">
        <v>286</v>
      </c>
      <c r="D32" s="52">
        <v>1</v>
      </c>
      <c r="E32" s="52" t="s">
        <v>20</v>
      </c>
      <c r="F32" s="246"/>
      <c r="G32" s="240"/>
      <c r="H32" s="240"/>
      <c r="I32" s="243"/>
      <c r="J32" s="132" t="s">
        <v>297</v>
      </c>
      <c r="K32" s="132" t="s">
        <v>296</v>
      </c>
      <c r="L32" s="166" t="s">
        <v>326</v>
      </c>
      <c r="M32" s="166" t="s">
        <v>377</v>
      </c>
      <c r="N32"/>
      <c r="O32"/>
      <c r="P32"/>
      <c r="R32"/>
      <c r="S32"/>
    </row>
    <row r="33" spans="1:19" s="39" customFormat="1" ht="30" customHeight="1">
      <c r="A33" s="149" t="s">
        <v>153</v>
      </c>
      <c r="B33" s="50" t="s">
        <v>133</v>
      </c>
      <c r="C33" s="157" t="s">
        <v>287</v>
      </c>
      <c r="D33" s="52">
        <v>1</v>
      </c>
      <c r="E33" s="52" t="s">
        <v>20</v>
      </c>
      <c r="F33" s="247"/>
      <c r="G33" s="241"/>
      <c r="H33" s="241"/>
      <c r="I33" s="244"/>
      <c r="J33" s="132" t="s">
        <v>297</v>
      </c>
      <c r="K33" s="132" t="s">
        <v>296</v>
      </c>
      <c r="L33" s="166" t="s">
        <v>326</v>
      </c>
      <c r="M33" s="166" t="s">
        <v>377</v>
      </c>
      <c r="N33"/>
      <c r="O33"/>
      <c r="P33"/>
      <c r="R33"/>
      <c r="S33"/>
    </row>
    <row r="34" spans="1:19" s="39" customFormat="1" ht="30" customHeight="1">
      <c r="A34" s="149" t="s">
        <v>396</v>
      </c>
      <c r="B34" s="50" t="s">
        <v>134</v>
      </c>
      <c r="C34" s="157" t="s">
        <v>401</v>
      </c>
      <c r="D34" s="52">
        <v>33.5</v>
      </c>
      <c r="E34" s="52" t="s">
        <v>16</v>
      </c>
      <c r="F34" s="132">
        <v>1</v>
      </c>
      <c r="G34" s="65"/>
      <c r="H34" s="65"/>
      <c r="I34" s="74"/>
      <c r="J34" s="132" t="s">
        <v>297</v>
      </c>
      <c r="K34" s="132" t="s">
        <v>296</v>
      </c>
      <c r="L34" s="166" t="s">
        <v>326</v>
      </c>
      <c r="M34" s="172" t="s">
        <v>402</v>
      </c>
      <c r="N34"/>
      <c r="O34"/>
      <c r="P34"/>
      <c r="R34"/>
      <c r="S34"/>
    </row>
    <row r="35" spans="1:19" s="39" customFormat="1" ht="30" customHeight="1">
      <c r="A35" s="149" t="s">
        <v>153</v>
      </c>
      <c r="B35" s="50" t="s">
        <v>331</v>
      </c>
      <c r="C35" s="157" t="s">
        <v>283</v>
      </c>
      <c r="D35" s="52">
        <v>1</v>
      </c>
      <c r="E35" s="52" t="s">
        <v>20</v>
      </c>
      <c r="F35" s="245">
        <v>5268.6</v>
      </c>
      <c r="G35" s="239">
        <v>5268.6</v>
      </c>
      <c r="H35" s="239">
        <f t="shared" si="0"/>
        <v>0</v>
      </c>
      <c r="I35" s="242" t="s">
        <v>431</v>
      </c>
      <c r="J35" s="142" t="s">
        <v>297</v>
      </c>
      <c r="K35" s="132" t="s">
        <v>296</v>
      </c>
      <c r="L35" s="166" t="s">
        <v>326</v>
      </c>
      <c r="M35" s="178" t="s">
        <v>585</v>
      </c>
      <c r="N35"/>
      <c r="O35"/>
      <c r="P35"/>
      <c r="R35"/>
      <c r="S35"/>
    </row>
    <row r="36" spans="1:19" s="39" customFormat="1" ht="30" customHeight="1">
      <c r="A36" s="149" t="s">
        <v>153</v>
      </c>
      <c r="B36" s="50" t="s">
        <v>332</v>
      </c>
      <c r="C36" s="157" t="s">
        <v>25</v>
      </c>
      <c r="D36" s="52">
        <v>1</v>
      </c>
      <c r="E36" s="52" t="s">
        <v>20</v>
      </c>
      <c r="F36" s="247"/>
      <c r="G36" s="241"/>
      <c r="H36" s="241"/>
      <c r="I36" s="244"/>
      <c r="J36" s="142" t="s">
        <v>297</v>
      </c>
      <c r="K36" s="132" t="s">
        <v>296</v>
      </c>
      <c r="L36" s="166" t="s">
        <v>326</v>
      </c>
      <c r="M36" s="178" t="s">
        <v>585</v>
      </c>
      <c r="N36"/>
      <c r="O36"/>
      <c r="P36"/>
      <c r="R36"/>
      <c r="S36"/>
    </row>
    <row r="37" spans="1:19" s="39" customFormat="1" ht="30" customHeight="1">
      <c r="A37" s="149" t="s">
        <v>153</v>
      </c>
      <c r="B37" s="229" t="s">
        <v>333</v>
      </c>
      <c r="C37" s="157" t="s">
        <v>530</v>
      </c>
      <c r="D37" s="52">
        <v>1</v>
      </c>
      <c r="E37" s="52" t="s">
        <v>20</v>
      </c>
      <c r="F37" s="175">
        <v>29155.98</v>
      </c>
      <c r="G37" s="174"/>
      <c r="H37" s="65">
        <f t="shared" ref="H37" si="1">G37-F37</f>
        <v>-29155.98</v>
      </c>
      <c r="I37" s="208" t="s">
        <v>531</v>
      </c>
      <c r="J37" s="142" t="s">
        <v>297</v>
      </c>
      <c r="K37" s="132" t="s">
        <v>296</v>
      </c>
      <c r="L37" s="166" t="s">
        <v>326</v>
      </c>
      <c r="M37" s="178" t="s">
        <v>585</v>
      </c>
      <c r="N37"/>
      <c r="O37"/>
      <c r="P37"/>
      <c r="R37"/>
      <c r="S37"/>
    </row>
    <row r="38" spans="1:19" s="39" customFormat="1" ht="30" customHeight="1">
      <c r="A38" s="49"/>
      <c r="B38" s="50"/>
      <c r="C38" s="53"/>
      <c r="D38" s="52"/>
      <c r="E38" s="52"/>
      <c r="F38" s="179"/>
      <c r="G38" s="56"/>
      <c r="H38" s="54"/>
      <c r="I38" s="74"/>
      <c r="J38" s="128"/>
      <c r="K38" s="75"/>
      <c r="L38" s="75"/>
      <c r="M38" s="115"/>
      <c r="N38"/>
      <c r="O38"/>
      <c r="P38"/>
      <c r="R38"/>
      <c r="S38"/>
    </row>
    <row r="39" spans="1:19" s="39" customFormat="1" ht="30" customHeight="1">
      <c r="A39" s="149" t="s">
        <v>153</v>
      </c>
      <c r="B39" s="230" t="s">
        <v>334</v>
      </c>
      <c r="C39" s="157" t="s">
        <v>29</v>
      </c>
      <c r="D39" s="52">
        <v>1</v>
      </c>
      <c r="E39" s="52" t="s">
        <v>20</v>
      </c>
      <c r="F39" s="245">
        <v>29464.28</v>
      </c>
      <c r="G39" s="239">
        <v>26517.11</v>
      </c>
      <c r="H39" s="239">
        <f t="shared" si="0"/>
        <v>-2947.1699999999983</v>
      </c>
      <c r="I39" s="242" t="s">
        <v>431</v>
      </c>
      <c r="J39" s="132" t="s">
        <v>297</v>
      </c>
      <c r="K39" s="132" t="s">
        <v>296</v>
      </c>
      <c r="L39" s="166" t="s">
        <v>326</v>
      </c>
      <c r="M39" s="178" t="s">
        <v>585</v>
      </c>
      <c r="N39"/>
      <c r="O39"/>
      <c r="P39"/>
      <c r="R39"/>
      <c r="S39"/>
    </row>
    <row r="40" spans="1:19" s="39" customFormat="1" ht="30" customHeight="1">
      <c r="A40" s="149" t="s">
        <v>241</v>
      </c>
      <c r="B40" s="230" t="s">
        <v>335</v>
      </c>
      <c r="C40" s="157" t="s">
        <v>31</v>
      </c>
      <c r="D40" s="52">
        <v>1</v>
      </c>
      <c r="E40" s="52" t="s">
        <v>20</v>
      </c>
      <c r="F40" s="246"/>
      <c r="G40" s="240"/>
      <c r="H40" s="240"/>
      <c r="I40" s="243"/>
      <c r="J40" s="132" t="s">
        <v>297</v>
      </c>
      <c r="K40" s="132" t="s">
        <v>296</v>
      </c>
      <c r="L40" s="166" t="s">
        <v>326</v>
      </c>
      <c r="M40" s="178" t="s">
        <v>585</v>
      </c>
      <c r="N40"/>
      <c r="O40"/>
      <c r="P40"/>
      <c r="R40"/>
      <c r="S40"/>
    </row>
    <row r="41" spans="1:19" s="39" customFormat="1" ht="30" customHeight="1">
      <c r="A41" s="149" t="s">
        <v>153</v>
      </c>
      <c r="B41" s="230" t="s">
        <v>336</v>
      </c>
      <c r="C41" s="157" t="s">
        <v>277</v>
      </c>
      <c r="D41" s="52">
        <v>1</v>
      </c>
      <c r="E41" s="52" t="s">
        <v>20</v>
      </c>
      <c r="F41" s="246"/>
      <c r="G41" s="240"/>
      <c r="H41" s="240"/>
      <c r="I41" s="243"/>
      <c r="J41" s="132" t="s">
        <v>297</v>
      </c>
      <c r="K41" s="132" t="s">
        <v>296</v>
      </c>
      <c r="L41" s="166" t="s">
        <v>326</v>
      </c>
      <c r="M41" s="178" t="s">
        <v>585</v>
      </c>
      <c r="N41"/>
      <c r="O41"/>
      <c r="P41"/>
      <c r="R41"/>
      <c r="S41"/>
    </row>
    <row r="42" spans="1:19" s="39" customFormat="1" ht="30" customHeight="1">
      <c r="A42" s="149" t="s">
        <v>153</v>
      </c>
      <c r="B42" s="230" t="s">
        <v>337</v>
      </c>
      <c r="C42" s="156" t="s">
        <v>275</v>
      </c>
      <c r="D42" s="52">
        <v>120</v>
      </c>
      <c r="E42" s="138" t="s">
        <v>43</v>
      </c>
      <c r="F42" s="246"/>
      <c r="G42" s="240"/>
      <c r="H42" s="240"/>
      <c r="I42" s="243"/>
      <c r="J42" s="132" t="s">
        <v>297</v>
      </c>
      <c r="K42" s="132" t="s">
        <v>296</v>
      </c>
      <c r="L42" s="166" t="s">
        <v>326</v>
      </c>
      <c r="M42" s="178" t="s">
        <v>585</v>
      </c>
      <c r="N42"/>
      <c r="O42"/>
      <c r="P42"/>
      <c r="R42"/>
      <c r="S42"/>
    </row>
    <row r="43" spans="1:19" s="39" customFormat="1" ht="30" customHeight="1">
      <c r="A43" s="149" t="s">
        <v>153</v>
      </c>
      <c r="B43" s="230" t="s">
        <v>338</v>
      </c>
      <c r="C43" s="156" t="s">
        <v>276</v>
      </c>
      <c r="D43" s="52">
        <v>110</v>
      </c>
      <c r="E43" s="138" t="s">
        <v>43</v>
      </c>
      <c r="F43" s="247"/>
      <c r="G43" s="241"/>
      <c r="H43" s="241"/>
      <c r="I43" s="244"/>
      <c r="J43" s="132" t="s">
        <v>297</v>
      </c>
      <c r="K43" s="132" t="s">
        <v>296</v>
      </c>
      <c r="L43" s="166" t="s">
        <v>326</v>
      </c>
      <c r="M43" s="178" t="s">
        <v>585</v>
      </c>
      <c r="N43"/>
      <c r="O43"/>
      <c r="P43"/>
      <c r="R43"/>
      <c r="S43"/>
    </row>
    <row r="44" spans="1:19" s="39" customFormat="1" ht="30" customHeight="1">
      <c r="A44" s="149"/>
      <c r="B44" s="136"/>
      <c r="C44" s="156"/>
      <c r="D44" s="52"/>
      <c r="E44" s="138"/>
      <c r="F44" s="176"/>
      <c r="G44" s="55"/>
      <c r="H44" s="54"/>
      <c r="I44" s="73"/>
      <c r="J44" s="132"/>
      <c r="K44" s="132"/>
      <c r="L44" s="55"/>
      <c r="M44" s="115"/>
      <c r="N44"/>
      <c r="O44"/>
      <c r="P44"/>
      <c r="R44"/>
      <c r="S44"/>
    </row>
    <row r="45" spans="1:19" s="39" customFormat="1" ht="30" customHeight="1">
      <c r="A45" s="149" t="s">
        <v>240</v>
      </c>
      <c r="B45" s="230" t="s">
        <v>339</v>
      </c>
      <c r="C45" s="137" t="s">
        <v>239</v>
      </c>
      <c r="D45" s="52">
        <v>250</v>
      </c>
      <c r="E45" s="52" t="s">
        <v>16</v>
      </c>
      <c r="F45" s="132">
        <v>4237.9399999999996</v>
      </c>
      <c r="G45" s="55">
        <v>4237.9399999999996</v>
      </c>
      <c r="H45" s="65">
        <f t="shared" ref="H45" si="2">G45-F45</f>
        <v>0</v>
      </c>
      <c r="I45" s="130" t="s">
        <v>431</v>
      </c>
      <c r="J45" s="132" t="s">
        <v>297</v>
      </c>
      <c r="K45" s="132" t="s">
        <v>296</v>
      </c>
      <c r="L45" s="166" t="s">
        <v>326</v>
      </c>
      <c r="M45" s="178" t="s">
        <v>585</v>
      </c>
      <c r="N45"/>
      <c r="O45"/>
      <c r="P45"/>
      <c r="R45"/>
      <c r="S45"/>
    </row>
    <row r="46" spans="1:19" s="39" customFormat="1" ht="30" customHeight="1">
      <c r="A46" s="49"/>
      <c r="B46" s="50"/>
      <c r="C46" s="57"/>
      <c r="D46" s="52"/>
      <c r="E46" s="52"/>
      <c r="F46" s="55"/>
      <c r="G46" s="55"/>
      <c r="H46" s="54"/>
      <c r="I46" s="73"/>
      <c r="J46" s="132"/>
      <c r="K46" s="55"/>
      <c r="L46" s="55"/>
      <c r="M46" s="115"/>
      <c r="N46"/>
      <c r="O46"/>
      <c r="P46"/>
      <c r="R46"/>
      <c r="S46"/>
    </row>
    <row r="47" spans="1:19" s="39" customFormat="1" ht="30" customHeight="1">
      <c r="A47" s="149" t="s">
        <v>153</v>
      </c>
      <c r="B47" s="211" t="s">
        <v>340</v>
      </c>
      <c r="C47" s="156" t="s">
        <v>447</v>
      </c>
      <c r="D47" s="52">
        <v>1</v>
      </c>
      <c r="E47" s="52" t="s">
        <v>20</v>
      </c>
      <c r="F47" s="239">
        <v>23672</v>
      </c>
      <c r="G47" s="239">
        <v>23672</v>
      </c>
      <c r="H47" s="239">
        <f t="shared" ref="H47" si="3">G47-F47</f>
        <v>0</v>
      </c>
      <c r="I47" s="141" t="s">
        <v>427</v>
      </c>
      <c r="J47" s="132" t="s">
        <v>446</v>
      </c>
      <c r="K47" s="132" t="s">
        <v>296</v>
      </c>
      <c r="L47" s="166" t="s">
        <v>326</v>
      </c>
      <c r="M47" s="166" t="s">
        <v>325</v>
      </c>
      <c r="N47"/>
      <c r="O47"/>
      <c r="P47"/>
      <c r="R47"/>
      <c r="S47"/>
    </row>
    <row r="48" spans="1:19" s="39" customFormat="1" ht="30" customHeight="1">
      <c r="A48" s="149" t="s">
        <v>153</v>
      </c>
      <c r="B48" s="211" t="s">
        <v>341</v>
      </c>
      <c r="C48" s="156" t="s">
        <v>290</v>
      </c>
      <c r="D48" s="52">
        <v>1</v>
      </c>
      <c r="E48" s="52" t="s">
        <v>20</v>
      </c>
      <c r="F48" s="241"/>
      <c r="G48" s="241"/>
      <c r="H48" s="241"/>
      <c r="I48" s="141" t="s">
        <v>427</v>
      </c>
      <c r="J48" s="132" t="s">
        <v>446</v>
      </c>
      <c r="K48" s="132" t="s">
        <v>296</v>
      </c>
      <c r="L48" s="166" t="s">
        <v>326</v>
      </c>
      <c r="M48" s="166" t="s">
        <v>325</v>
      </c>
      <c r="N48"/>
      <c r="O48"/>
      <c r="P48"/>
      <c r="R48"/>
      <c r="S48"/>
    </row>
    <row r="49" spans="1:19" s="39" customFormat="1" ht="30" customHeight="1">
      <c r="A49" s="49"/>
      <c r="B49" s="50"/>
      <c r="C49" s="57"/>
      <c r="D49" s="52"/>
      <c r="E49" s="52"/>
      <c r="F49" s="55"/>
      <c r="G49" s="55"/>
      <c r="H49" s="54"/>
      <c r="I49" s="73"/>
      <c r="J49" s="132"/>
      <c r="K49" s="55"/>
      <c r="L49" s="55"/>
      <c r="M49" s="115"/>
      <c r="N49"/>
      <c r="O49"/>
      <c r="P49"/>
      <c r="R49"/>
      <c r="S49"/>
    </row>
    <row r="50" spans="1:19" s="39" customFormat="1" ht="30" customHeight="1">
      <c r="A50" s="149" t="s">
        <v>153</v>
      </c>
      <c r="B50" s="230" t="s">
        <v>365</v>
      </c>
      <c r="C50" s="156" t="s">
        <v>305</v>
      </c>
      <c r="D50" s="52">
        <v>1</v>
      </c>
      <c r="E50" s="138" t="s">
        <v>20</v>
      </c>
      <c r="F50" s="55">
        <v>1000</v>
      </c>
      <c r="G50" s="55">
        <v>1000</v>
      </c>
      <c r="H50" s="54">
        <f t="shared" ref="H50" si="4">G50-F50</f>
        <v>0</v>
      </c>
      <c r="I50" s="73"/>
      <c r="J50" s="132" t="s">
        <v>597</v>
      </c>
      <c r="K50" s="132" t="s">
        <v>296</v>
      </c>
      <c r="L50" s="166" t="s">
        <v>326</v>
      </c>
      <c r="M50" s="166" t="s">
        <v>325</v>
      </c>
      <c r="N50"/>
      <c r="O50"/>
      <c r="P50"/>
      <c r="R50"/>
      <c r="S50"/>
    </row>
    <row r="51" spans="1:19" s="39" customFormat="1" ht="30" customHeight="1">
      <c r="A51" s="49"/>
      <c r="B51" s="50"/>
      <c r="C51" s="58"/>
      <c r="D51" s="52"/>
      <c r="E51" s="52"/>
      <c r="F51" s="55"/>
      <c r="G51" s="55"/>
      <c r="H51" s="55"/>
      <c r="I51" s="73"/>
      <c r="J51" s="127"/>
      <c r="K51" s="55"/>
      <c r="L51" s="55"/>
      <c r="M51" s="115"/>
      <c r="N51"/>
      <c r="O51"/>
      <c r="P51"/>
      <c r="R51"/>
      <c r="S51"/>
    </row>
    <row r="52" spans="1:19" s="39" customFormat="1" ht="30" customHeight="1">
      <c r="A52" s="149" t="s">
        <v>153</v>
      </c>
      <c r="B52" s="230" t="s">
        <v>366</v>
      </c>
      <c r="C52" s="156" t="s">
        <v>433</v>
      </c>
      <c r="D52" s="52">
        <v>8</v>
      </c>
      <c r="E52" s="138" t="s">
        <v>43</v>
      </c>
      <c r="F52" s="245">
        <v>4350</v>
      </c>
      <c r="G52" s="245">
        <v>4350</v>
      </c>
      <c r="H52" s="239">
        <f t="shared" ref="H52" si="5">G52-F52</f>
        <v>0</v>
      </c>
      <c r="I52" s="248" t="s">
        <v>427</v>
      </c>
      <c r="J52" s="132" t="s">
        <v>131</v>
      </c>
      <c r="K52" s="132" t="s">
        <v>296</v>
      </c>
      <c r="L52" s="166" t="s">
        <v>326</v>
      </c>
      <c r="M52" s="166" t="s">
        <v>325</v>
      </c>
      <c r="N52"/>
      <c r="O52"/>
      <c r="P52"/>
      <c r="R52"/>
      <c r="S52"/>
    </row>
    <row r="53" spans="1:19" s="39" customFormat="1" ht="30" customHeight="1">
      <c r="A53" s="149" t="s">
        <v>153</v>
      </c>
      <c r="B53" s="230" t="s">
        <v>391</v>
      </c>
      <c r="C53" s="137" t="s">
        <v>135</v>
      </c>
      <c r="D53" s="52">
        <v>5</v>
      </c>
      <c r="E53" s="138" t="s">
        <v>43</v>
      </c>
      <c r="F53" s="246"/>
      <c r="G53" s="246"/>
      <c r="H53" s="240"/>
      <c r="I53" s="243"/>
      <c r="J53" s="132" t="s">
        <v>131</v>
      </c>
      <c r="K53" s="132" t="s">
        <v>296</v>
      </c>
      <c r="L53" s="166" t="s">
        <v>326</v>
      </c>
      <c r="M53" s="166" t="s">
        <v>325</v>
      </c>
      <c r="N53"/>
      <c r="O53"/>
      <c r="P53"/>
      <c r="R53"/>
      <c r="S53"/>
    </row>
    <row r="54" spans="1:19" s="39" customFormat="1" ht="30" customHeight="1">
      <c r="A54" s="149" t="s">
        <v>149</v>
      </c>
      <c r="B54" s="230" t="s">
        <v>392</v>
      </c>
      <c r="C54" s="137" t="s">
        <v>360</v>
      </c>
      <c r="D54" s="52">
        <v>1</v>
      </c>
      <c r="E54" s="138" t="s">
        <v>20</v>
      </c>
      <c r="F54" s="246"/>
      <c r="G54" s="246"/>
      <c r="H54" s="240"/>
      <c r="I54" s="243"/>
      <c r="J54" s="132" t="s">
        <v>131</v>
      </c>
      <c r="K54" s="132" t="s">
        <v>296</v>
      </c>
      <c r="L54" s="166" t="s">
        <v>326</v>
      </c>
      <c r="M54" s="166" t="s">
        <v>325</v>
      </c>
      <c r="N54"/>
      <c r="O54"/>
      <c r="P54"/>
      <c r="R54"/>
      <c r="S54"/>
    </row>
    <row r="55" spans="1:19" s="39" customFormat="1" ht="30" customHeight="1">
      <c r="A55" s="149" t="s">
        <v>367</v>
      </c>
      <c r="B55" s="230" t="s">
        <v>393</v>
      </c>
      <c r="C55" s="137" t="s">
        <v>359</v>
      </c>
      <c r="D55" s="52">
        <v>7</v>
      </c>
      <c r="E55" s="138" t="s">
        <v>43</v>
      </c>
      <c r="F55" s="246"/>
      <c r="G55" s="246"/>
      <c r="H55" s="240"/>
      <c r="I55" s="243"/>
      <c r="J55" s="132" t="s">
        <v>131</v>
      </c>
      <c r="K55" s="132" t="s">
        <v>296</v>
      </c>
      <c r="L55" s="166" t="s">
        <v>326</v>
      </c>
      <c r="M55" s="166" t="s">
        <v>325</v>
      </c>
      <c r="N55"/>
      <c r="O55"/>
      <c r="P55"/>
      <c r="R55"/>
      <c r="S55"/>
    </row>
    <row r="56" spans="1:19" s="39" customFormat="1" ht="30" customHeight="1">
      <c r="A56" s="149" t="s">
        <v>153</v>
      </c>
      <c r="B56" s="230" t="s">
        <v>394</v>
      </c>
      <c r="C56" s="137" t="s">
        <v>432</v>
      </c>
      <c r="D56" s="52">
        <v>6</v>
      </c>
      <c r="E56" s="138" t="s">
        <v>43</v>
      </c>
      <c r="F56" s="246"/>
      <c r="G56" s="246"/>
      <c r="H56" s="240"/>
      <c r="I56" s="243"/>
      <c r="J56" s="132" t="s">
        <v>131</v>
      </c>
      <c r="K56" s="132" t="s">
        <v>296</v>
      </c>
      <c r="L56" s="166" t="s">
        <v>326</v>
      </c>
      <c r="M56" s="166" t="s">
        <v>325</v>
      </c>
      <c r="N56"/>
      <c r="O56"/>
      <c r="P56"/>
      <c r="R56"/>
      <c r="S56"/>
    </row>
    <row r="57" spans="1:19" s="39" customFormat="1" ht="30" customHeight="1">
      <c r="A57" s="149" t="s">
        <v>153</v>
      </c>
      <c r="B57" s="230" t="s">
        <v>434</v>
      </c>
      <c r="C57" s="137" t="s">
        <v>361</v>
      </c>
      <c r="D57" s="52">
        <v>7</v>
      </c>
      <c r="E57" s="138" t="s">
        <v>43</v>
      </c>
      <c r="F57" s="247"/>
      <c r="G57" s="247"/>
      <c r="H57" s="241"/>
      <c r="I57" s="244"/>
      <c r="J57" s="132" t="s">
        <v>131</v>
      </c>
      <c r="K57" s="132" t="s">
        <v>296</v>
      </c>
      <c r="L57" s="166" t="s">
        <v>326</v>
      </c>
      <c r="M57" s="166" t="s">
        <v>325</v>
      </c>
      <c r="N57"/>
      <c r="O57"/>
      <c r="P57"/>
      <c r="R57"/>
      <c r="S57"/>
    </row>
    <row r="58" spans="1:19" s="39" customFormat="1" ht="30" customHeight="1">
      <c r="A58" s="49"/>
      <c r="B58" s="50"/>
      <c r="C58" s="159"/>
      <c r="D58" s="52"/>
      <c r="E58" s="52"/>
      <c r="F58" s="55"/>
      <c r="G58" s="55"/>
      <c r="H58" s="54"/>
      <c r="I58" s="73"/>
      <c r="J58" s="127"/>
      <c r="K58" s="55"/>
      <c r="L58" s="55"/>
      <c r="M58" s="115"/>
      <c r="N58"/>
      <c r="O58"/>
      <c r="P58"/>
      <c r="R58"/>
      <c r="S58"/>
    </row>
    <row r="59" spans="1:19" s="39" customFormat="1" ht="30" customHeight="1">
      <c r="A59" s="151" t="s">
        <v>204</v>
      </c>
      <c r="B59" s="230" t="s">
        <v>524</v>
      </c>
      <c r="C59" s="137" t="s">
        <v>160</v>
      </c>
      <c r="D59" s="52">
        <v>80</v>
      </c>
      <c r="E59" s="155" t="s">
        <v>130</v>
      </c>
      <c r="F59" s="55">
        <v>800</v>
      </c>
      <c r="G59" s="55">
        <v>800</v>
      </c>
      <c r="H59" s="65">
        <f t="shared" ref="H59:H62" si="6">G59-F59</f>
        <v>0</v>
      </c>
      <c r="I59" s="73"/>
      <c r="J59" s="161" t="s">
        <v>523</v>
      </c>
      <c r="K59" s="160" t="s">
        <v>298</v>
      </c>
      <c r="L59" s="166" t="s">
        <v>326</v>
      </c>
      <c r="M59" s="166" t="s">
        <v>325</v>
      </c>
      <c r="N59"/>
      <c r="O59"/>
      <c r="P59"/>
      <c r="R59"/>
      <c r="S59"/>
    </row>
    <row r="60" spans="1:19" s="39" customFormat="1" ht="30" customHeight="1">
      <c r="A60" s="151" t="s">
        <v>153</v>
      </c>
      <c r="B60" s="230" t="s">
        <v>609</v>
      </c>
      <c r="C60" s="137" t="s">
        <v>157</v>
      </c>
      <c r="D60" s="52">
        <v>118</v>
      </c>
      <c r="E60" s="155" t="s">
        <v>130</v>
      </c>
      <c r="F60" s="55">
        <v>1180</v>
      </c>
      <c r="G60" s="55">
        <v>1180</v>
      </c>
      <c r="H60" s="65">
        <f t="shared" si="6"/>
        <v>0</v>
      </c>
      <c r="I60" s="73"/>
      <c r="J60" s="161" t="s">
        <v>523</v>
      </c>
      <c r="K60" s="160" t="s">
        <v>298</v>
      </c>
      <c r="L60" s="166" t="s">
        <v>326</v>
      </c>
      <c r="M60" s="166" t="s">
        <v>325</v>
      </c>
      <c r="N60"/>
      <c r="O60"/>
      <c r="P60"/>
      <c r="R60"/>
      <c r="S60"/>
    </row>
    <row r="61" spans="1:19" s="39" customFormat="1" ht="30" customHeight="1">
      <c r="A61" s="151" t="s">
        <v>153</v>
      </c>
      <c r="B61" s="230" t="s">
        <v>610</v>
      </c>
      <c r="C61" s="137" t="s">
        <v>156</v>
      </c>
      <c r="D61" s="52">
        <v>230</v>
      </c>
      <c r="E61" s="52" t="s">
        <v>16</v>
      </c>
      <c r="F61" s="55">
        <v>3450</v>
      </c>
      <c r="G61" s="55">
        <v>3450</v>
      </c>
      <c r="H61" s="65">
        <f t="shared" si="6"/>
        <v>0</v>
      </c>
      <c r="I61" s="73"/>
      <c r="J61" s="161" t="s">
        <v>523</v>
      </c>
      <c r="K61" s="160" t="s">
        <v>298</v>
      </c>
      <c r="L61" s="166" t="s">
        <v>326</v>
      </c>
      <c r="M61" s="166" t="s">
        <v>325</v>
      </c>
      <c r="N61"/>
      <c r="O61"/>
      <c r="P61"/>
      <c r="R61"/>
      <c r="S61"/>
    </row>
    <row r="62" spans="1:19" s="39" customFormat="1" ht="30" customHeight="1">
      <c r="A62" s="149" t="s">
        <v>242</v>
      </c>
      <c r="B62" s="230" t="s">
        <v>611</v>
      </c>
      <c r="C62" s="51" t="s">
        <v>18</v>
      </c>
      <c r="D62" s="52">
        <v>20</v>
      </c>
      <c r="E62" s="52" t="s">
        <v>16</v>
      </c>
      <c r="F62" s="55">
        <v>300</v>
      </c>
      <c r="G62" s="55">
        <v>300</v>
      </c>
      <c r="H62" s="54">
        <f t="shared" si="6"/>
        <v>0</v>
      </c>
      <c r="I62" s="73"/>
      <c r="J62" s="161" t="s">
        <v>523</v>
      </c>
      <c r="K62" s="160" t="s">
        <v>298</v>
      </c>
      <c r="L62" s="166" t="s">
        <v>326</v>
      </c>
      <c r="M62" s="166" t="s">
        <v>325</v>
      </c>
      <c r="N62"/>
      <c r="O62"/>
      <c r="P62"/>
      <c r="R62"/>
      <c r="S62"/>
    </row>
    <row r="63" spans="1:19" s="39" customFormat="1" ht="30" customHeight="1">
      <c r="A63" s="149" t="s">
        <v>153</v>
      </c>
      <c r="B63" s="230" t="s">
        <v>612</v>
      </c>
      <c r="C63" s="135" t="s">
        <v>525</v>
      </c>
      <c r="D63" s="52">
        <v>1</v>
      </c>
      <c r="E63" s="138" t="s">
        <v>20</v>
      </c>
      <c r="F63" s="55">
        <v>4650</v>
      </c>
      <c r="G63" s="55">
        <v>4650</v>
      </c>
      <c r="H63" s="54">
        <f t="shared" ref="H63" si="7">G63-F63</f>
        <v>0</v>
      </c>
      <c r="I63" s="73"/>
      <c r="J63" s="161" t="s">
        <v>523</v>
      </c>
      <c r="K63" s="160" t="s">
        <v>298</v>
      </c>
      <c r="L63" s="166" t="s">
        <v>326</v>
      </c>
      <c r="M63" s="166" t="s">
        <v>325</v>
      </c>
      <c r="N63"/>
      <c r="O63"/>
      <c r="P63"/>
      <c r="R63"/>
      <c r="S63"/>
    </row>
    <row r="64" spans="1:19" s="39" customFormat="1" ht="30" customHeight="1">
      <c r="A64" s="43"/>
      <c r="B64" s="59"/>
      <c r="C64" s="45"/>
      <c r="D64" s="60"/>
      <c r="E64" s="60"/>
      <c r="F64" s="48"/>
      <c r="G64" s="48"/>
      <c r="H64" s="48"/>
      <c r="I64" s="48"/>
      <c r="J64" s="72"/>
      <c r="K64" s="72"/>
      <c r="L64" s="72"/>
      <c r="M64" s="116"/>
    </row>
    <row r="65" spans="1:13" s="39" customFormat="1" ht="30" customHeight="1">
      <c r="A65" s="41">
        <v>2</v>
      </c>
      <c r="B65" s="41"/>
      <c r="C65" s="41" t="s">
        <v>36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spans="1:13" s="39" customFormat="1" ht="30" customHeight="1">
      <c r="A66" s="151" t="s">
        <v>179</v>
      </c>
      <c r="B66" s="136" t="s">
        <v>37</v>
      </c>
      <c r="C66" s="61" t="s">
        <v>182</v>
      </c>
      <c r="D66" s="62">
        <v>2</v>
      </c>
      <c r="E66" s="148" t="s">
        <v>43</v>
      </c>
      <c r="F66" s="141">
        <v>6224</v>
      </c>
      <c r="G66" s="141">
        <v>6224</v>
      </c>
      <c r="H66" s="65">
        <f t="shared" ref="H66:H71" si="8">G66-F66</f>
        <v>0</v>
      </c>
      <c r="I66" s="141" t="s">
        <v>427</v>
      </c>
      <c r="J66" s="160" t="s">
        <v>397</v>
      </c>
      <c r="K66" s="160" t="s">
        <v>298</v>
      </c>
      <c r="L66" s="166" t="s">
        <v>326</v>
      </c>
      <c r="M66" s="166" t="s">
        <v>325</v>
      </c>
    </row>
    <row r="67" spans="1:13" s="39" customFormat="1" ht="30" customHeight="1">
      <c r="A67" s="151" t="s">
        <v>179</v>
      </c>
      <c r="B67" s="136" t="s">
        <v>181</v>
      </c>
      <c r="C67" s="61" t="s">
        <v>183</v>
      </c>
      <c r="D67" s="62">
        <v>12</v>
      </c>
      <c r="E67" s="52" t="s">
        <v>16</v>
      </c>
      <c r="F67" s="141">
        <v>11370.55</v>
      </c>
      <c r="G67" s="141">
        <v>11370.55</v>
      </c>
      <c r="H67" s="65">
        <f t="shared" si="8"/>
        <v>0</v>
      </c>
      <c r="I67" s="141" t="s">
        <v>427</v>
      </c>
      <c r="J67" s="160" t="s">
        <v>397</v>
      </c>
      <c r="K67" s="160" t="s">
        <v>298</v>
      </c>
      <c r="L67" s="166" t="s">
        <v>326</v>
      </c>
      <c r="M67" s="166" t="s">
        <v>325</v>
      </c>
    </row>
    <row r="68" spans="1:13" s="39" customFormat="1" ht="30" customHeight="1">
      <c r="A68" s="151" t="s">
        <v>185</v>
      </c>
      <c r="B68" s="136" t="s">
        <v>191</v>
      </c>
      <c r="C68" s="61" t="s">
        <v>194</v>
      </c>
      <c r="D68" s="62">
        <v>1</v>
      </c>
      <c r="E68" s="148" t="s">
        <v>43</v>
      </c>
      <c r="F68" s="141">
        <v>1074</v>
      </c>
      <c r="G68" s="141">
        <v>1074</v>
      </c>
      <c r="H68" s="65">
        <f t="shared" si="8"/>
        <v>0</v>
      </c>
      <c r="I68" s="141" t="s">
        <v>427</v>
      </c>
      <c r="J68" s="160" t="s">
        <v>397</v>
      </c>
      <c r="K68" s="160" t="s">
        <v>298</v>
      </c>
      <c r="L68" s="166" t="s">
        <v>326</v>
      </c>
      <c r="M68" s="166" t="s">
        <v>325</v>
      </c>
    </row>
    <row r="69" spans="1:13" s="39" customFormat="1" ht="30" customHeight="1">
      <c r="A69" s="151" t="s">
        <v>185</v>
      </c>
      <c r="B69" s="136" t="s">
        <v>192</v>
      </c>
      <c r="C69" s="61" t="s">
        <v>201</v>
      </c>
      <c r="D69" s="62">
        <v>1</v>
      </c>
      <c r="E69" s="148" t="s">
        <v>43</v>
      </c>
      <c r="F69" s="141">
        <v>2815</v>
      </c>
      <c r="G69" s="141">
        <v>2815</v>
      </c>
      <c r="H69" s="65">
        <f t="shared" si="8"/>
        <v>0</v>
      </c>
      <c r="I69" s="141" t="s">
        <v>427</v>
      </c>
      <c r="J69" s="160" t="s">
        <v>397</v>
      </c>
      <c r="K69" s="160" t="s">
        <v>298</v>
      </c>
      <c r="L69" s="166" t="s">
        <v>326</v>
      </c>
      <c r="M69" s="166" t="s">
        <v>325</v>
      </c>
    </row>
    <row r="70" spans="1:13" s="39" customFormat="1" ht="30" customHeight="1">
      <c r="A70" s="151" t="s">
        <v>242</v>
      </c>
      <c r="B70" s="136" t="s">
        <v>193</v>
      </c>
      <c r="C70" s="61" t="s">
        <v>247</v>
      </c>
      <c r="D70" s="62">
        <v>1</v>
      </c>
      <c r="E70" s="148" t="s">
        <v>43</v>
      </c>
      <c r="F70" s="141">
        <v>3187</v>
      </c>
      <c r="G70" s="141">
        <v>3187</v>
      </c>
      <c r="H70" s="65">
        <f t="shared" ref="H70" si="9">G70-F70</f>
        <v>0</v>
      </c>
      <c r="I70" s="141" t="s">
        <v>427</v>
      </c>
      <c r="J70" s="160" t="s">
        <v>397</v>
      </c>
      <c r="K70" s="160" t="s">
        <v>298</v>
      </c>
      <c r="L70" s="166" t="s">
        <v>326</v>
      </c>
      <c r="M70" s="166" t="s">
        <v>325</v>
      </c>
    </row>
    <row r="71" spans="1:13" s="39" customFormat="1" ht="30" customHeight="1">
      <c r="A71" s="151" t="s">
        <v>596</v>
      </c>
      <c r="B71" s="211" t="s">
        <v>557</v>
      </c>
      <c r="C71" s="61" t="s">
        <v>595</v>
      </c>
      <c r="D71" s="62">
        <v>1</v>
      </c>
      <c r="E71" s="148" t="s">
        <v>20</v>
      </c>
      <c r="F71" s="141">
        <v>1248</v>
      </c>
      <c r="G71" s="141">
        <v>1248</v>
      </c>
      <c r="H71" s="65">
        <f t="shared" si="8"/>
        <v>0</v>
      </c>
      <c r="I71" s="141" t="s">
        <v>427</v>
      </c>
      <c r="J71" s="160" t="s">
        <v>397</v>
      </c>
      <c r="K71" s="160" t="s">
        <v>298</v>
      </c>
      <c r="L71" s="166" t="s">
        <v>326</v>
      </c>
      <c r="M71" s="166" t="s">
        <v>325</v>
      </c>
    </row>
    <row r="72" spans="1:13" s="39" customFormat="1" ht="30" customHeight="1">
      <c r="A72" s="43"/>
      <c r="B72" s="59"/>
      <c r="C72" s="45"/>
      <c r="D72" s="60"/>
      <c r="E72" s="60"/>
      <c r="F72" s="48"/>
      <c r="G72" s="48"/>
      <c r="H72" s="48"/>
      <c r="I72" s="48"/>
      <c r="J72" s="72"/>
      <c r="K72" s="72"/>
      <c r="L72" s="72"/>
      <c r="M72" s="118"/>
    </row>
    <row r="73" spans="1:13" s="39" customFormat="1" ht="30" customHeight="1">
      <c r="A73" s="41">
        <v>3</v>
      </c>
      <c r="B73" s="41"/>
      <c r="C73" s="41" t="s">
        <v>38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</row>
    <row r="74" spans="1:13" s="39" customFormat="1" ht="30" customHeight="1">
      <c r="A74" s="151" t="s">
        <v>153</v>
      </c>
      <c r="B74" s="63" t="s">
        <v>39</v>
      </c>
      <c r="C74" s="134" t="s">
        <v>154</v>
      </c>
      <c r="D74" s="62">
        <v>230</v>
      </c>
      <c r="E74" s="62" t="s">
        <v>40</v>
      </c>
      <c r="F74" s="170">
        <v>1</v>
      </c>
      <c r="G74" s="170"/>
      <c r="H74" s="54"/>
      <c r="I74" s="54"/>
      <c r="J74" s="162"/>
      <c r="K74" s="160"/>
      <c r="L74" s="123"/>
      <c r="M74" s="172" t="s">
        <v>150</v>
      </c>
    </row>
    <row r="75" spans="1:13" s="39" customFormat="1" ht="30" customHeight="1">
      <c r="A75" s="151" t="s">
        <v>204</v>
      </c>
      <c r="B75" s="140" t="s">
        <v>42</v>
      </c>
      <c r="C75" s="134" t="s">
        <v>155</v>
      </c>
      <c r="D75" s="64">
        <v>80</v>
      </c>
      <c r="E75" s="155" t="s">
        <v>130</v>
      </c>
      <c r="F75" s="54">
        <v>918.72</v>
      </c>
      <c r="G75" s="54">
        <v>918.72</v>
      </c>
      <c r="H75" s="65">
        <f t="shared" ref="H75:H78" si="10">G75-F75</f>
        <v>0</v>
      </c>
      <c r="I75" s="54"/>
      <c r="J75" s="162" t="s">
        <v>41</v>
      </c>
      <c r="K75" s="160" t="s">
        <v>298</v>
      </c>
      <c r="L75" s="166" t="s">
        <v>326</v>
      </c>
      <c r="M75" s="166" t="s">
        <v>325</v>
      </c>
    </row>
    <row r="76" spans="1:13" s="39" customFormat="1" ht="30" customHeight="1">
      <c r="A76" s="151" t="s">
        <v>153</v>
      </c>
      <c r="B76" s="63" t="s">
        <v>158</v>
      </c>
      <c r="C76" s="134" t="s">
        <v>159</v>
      </c>
      <c r="D76" s="64">
        <v>120</v>
      </c>
      <c r="E76" s="155" t="s">
        <v>130</v>
      </c>
      <c r="F76" s="54">
        <v>1932</v>
      </c>
      <c r="G76" s="54">
        <v>1932</v>
      </c>
      <c r="H76" s="65">
        <f t="shared" si="10"/>
        <v>0</v>
      </c>
      <c r="I76" s="54"/>
      <c r="J76" s="162" t="s">
        <v>41</v>
      </c>
      <c r="K76" s="160" t="s">
        <v>298</v>
      </c>
      <c r="L76" s="166" t="s">
        <v>326</v>
      </c>
      <c r="M76" s="166" t="s">
        <v>325</v>
      </c>
    </row>
    <row r="77" spans="1:13" s="39" customFormat="1" ht="30" customHeight="1">
      <c r="A77" s="151" t="s">
        <v>242</v>
      </c>
      <c r="B77" s="140" t="s">
        <v>274</v>
      </c>
      <c r="C77" s="134" t="s">
        <v>273</v>
      </c>
      <c r="D77" s="64">
        <v>20</v>
      </c>
      <c r="E77" s="52" t="s">
        <v>16</v>
      </c>
      <c r="F77" s="54">
        <v>2680.41</v>
      </c>
      <c r="G77" s="54">
        <v>2680.41</v>
      </c>
      <c r="H77" s="65">
        <f t="shared" ref="H77" si="11">G77-F77</f>
        <v>0</v>
      </c>
      <c r="I77" s="54"/>
      <c r="J77" s="162" t="s">
        <v>41</v>
      </c>
      <c r="K77" s="160" t="s">
        <v>298</v>
      </c>
      <c r="L77" s="166" t="s">
        <v>326</v>
      </c>
      <c r="M77" s="166" t="s">
        <v>325</v>
      </c>
    </row>
    <row r="78" spans="1:13" s="39" customFormat="1" ht="30" customHeight="1">
      <c r="A78" s="151" t="s">
        <v>153</v>
      </c>
      <c r="B78" s="212" t="s">
        <v>555</v>
      </c>
      <c r="C78" s="134" t="s">
        <v>556</v>
      </c>
      <c r="D78" s="64">
        <v>288</v>
      </c>
      <c r="E78" s="138" t="s">
        <v>43</v>
      </c>
      <c r="F78" s="141">
        <v>5718.9</v>
      </c>
      <c r="G78" s="54">
        <v>5718.9</v>
      </c>
      <c r="H78" s="65">
        <f t="shared" si="10"/>
        <v>0</v>
      </c>
      <c r="I78" s="54"/>
      <c r="J78" s="162" t="s">
        <v>41</v>
      </c>
      <c r="K78" s="160" t="s">
        <v>298</v>
      </c>
      <c r="L78" s="166" t="s">
        <v>326</v>
      </c>
      <c r="M78" s="166" t="s">
        <v>325</v>
      </c>
    </row>
    <row r="79" spans="1:13" s="39" customFormat="1" ht="30" customHeight="1">
      <c r="A79" s="43"/>
      <c r="B79" s="59"/>
      <c r="C79" s="45"/>
      <c r="D79" s="60"/>
      <c r="E79" s="60"/>
      <c r="F79" s="48"/>
      <c r="G79" s="48"/>
      <c r="H79" s="48"/>
      <c r="I79" s="48"/>
      <c r="J79" s="72"/>
      <c r="K79" s="72"/>
      <c r="L79" s="72"/>
      <c r="M79" s="116"/>
    </row>
    <row r="80" spans="1:13" s="39" customFormat="1" ht="30" customHeight="1">
      <c r="A80" s="41">
        <v>4</v>
      </c>
      <c r="B80" s="41"/>
      <c r="C80" s="41" t="s">
        <v>123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</row>
    <row r="81" spans="1:15" s="39" customFormat="1" ht="30" customHeight="1">
      <c r="A81" s="149" t="s">
        <v>153</v>
      </c>
      <c r="B81" s="122" t="s">
        <v>125</v>
      </c>
      <c r="C81" s="67" t="s">
        <v>166</v>
      </c>
      <c r="D81" s="62">
        <v>18</v>
      </c>
      <c r="E81" s="148" t="s">
        <v>130</v>
      </c>
      <c r="F81" s="68">
        <v>1666.2</v>
      </c>
      <c r="G81" s="68">
        <v>1666.2</v>
      </c>
      <c r="H81" s="65">
        <f t="shared" ref="H81:H100" si="12">G81-F81</f>
        <v>0</v>
      </c>
      <c r="I81" s="54"/>
      <c r="J81" s="162" t="s">
        <v>299</v>
      </c>
      <c r="K81" s="160" t="s">
        <v>298</v>
      </c>
      <c r="L81" s="166" t="s">
        <v>326</v>
      </c>
      <c r="M81" s="166" t="s">
        <v>325</v>
      </c>
      <c r="N81" s="250"/>
      <c r="O81" s="235"/>
    </row>
    <row r="82" spans="1:15" s="39" customFormat="1" ht="30" customHeight="1">
      <c r="A82" s="149" t="s">
        <v>153</v>
      </c>
      <c r="B82" s="122" t="s">
        <v>44</v>
      </c>
      <c r="C82" s="61" t="s">
        <v>167</v>
      </c>
      <c r="D82" s="62">
        <v>40</v>
      </c>
      <c r="E82" s="148" t="s">
        <v>43</v>
      </c>
      <c r="F82" s="68">
        <v>1356</v>
      </c>
      <c r="G82" s="68">
        <v>1356</v>
      </c>
      <c r="H82" s="65">
        <f t="shared" si="12"/>
        <v>0</v>
      </c>
      <c r="I82" s="54"/>
      <c r="J82" s="162" t="s">
        <v>299</v>
      </c>
      <c r="K82" s="160" t="s">
        <v>298</v>
      </c>
      <c r="L82" s="166" t="s">
        <v>326</v>
      </c>
      <c r="M82" s="166" t="s">
        <v>325</v>
      </c>
      <c r="N82" s="250"/>
      <c r="O82" s="235"/>
    </row>
    <row r="83" spans="1:15" s="39" customFormat="1" ht="30" customHeight="1">
      <c r="A83" s="149" t="s">
        <v>153</v>
      </c>
      <c r="B83" s="122" t="s">
        <v>46</v>
      </c>
      <c r="C83" s="67" t="s">
        <v>168</v>
      </c>
      <c r="D83" s="62">
        <v>40</v>
      </c>
      <c r="E83" s="148" t="s">
        <v>43</v>
      </c>
      <c r="F83" s="68">
        <v>920</v>
      </c>
      <c r="G83" s="68">
        <v>920</v>
      </c>
      <c r="H83" s="65">
        <f t="shared" si="12"/>
        <v>0</v>
      </c>
      <c r="I83" s="54"/>
      <c r="J83" s="162" t="s">
        <v>299</v>
      </c>
      <c r="K83" s="160" t="s">
        <v>298</v>
      </c>
      <c r="L83" s="166" t="s">
        <v>326</v>
      </c>
      <c r="M83" s="166" t="s">
        <v>325</v>
      </c>
      <c r="N83" s="250"/>
      <c r="O83" s="235"/>
    </row>
    <row r="84" spans="1:15" s="39" customFormat="1" ht="30" customHeight="1">
      <c r="A84" s="149" t="s">
        <v>153</v>
      </c>
      <c r="B84" s="122" t="s">
        <v>47</v>
      </c>
      <c r="C84" s="61" t="s">
        <v>169</v>
      </c>
      <c r="D84" s="62">
        <v>9</v>
      </c>
      <c r="E84" s="148" t="s">
        <v>43</v>
      </c>
      <c r="F84" s="168">
        <v>440</v>
      </c>
      <c r="G84" s="168">
        <v>440</v>
      </c>
      <c r="H84" s="65">
        <f t="shared" si="12"/>
        <v>0</v>
      </c>
      <c r="I84" s="54"/>
      <c r="J84" s="162" t="s">
        <v>299</v>
      </c>
      <c r="K84" s="160" t="s">
        <v>298</v>
      </c>
      <c r="L84" s="166" t="s">
        <v>326</v>
      </c>
      <c r="M84" s="166" t="s">
        <v>325</v>
      </c>
      <c r="N84" s="250"/>
      <c r="O84" s="235"/>
    </row>
    <row r="85" spans="1:15" s="39" customFormat="1" ht="30" customHeight="1">
      <c r="A85" s="149" t="s">
        <v>153</v>
      </c>
      <c r="B85" s="122" t="s">
        <v>48</v>
      </c>
      <c r="C85" s="61" t="s">
        <v>469</v>
      </c>
      <c r="D85" s="62">
        <v>1</v>
      </c>
      <c r="E85" s="148" t="s">
        <v>43</v>
      </c>
      <c r="F85" s="168">
        <v>86</v>
      </c>
      <c r="G85" s="168">
        <v>86</v>
      </c>
      <c r="H85" s="65">
        <f t="shared" si="12"/>
        <v>0</v>
      </c>
      <c r="I85" s="54"/>
      <c r="J85" s="162" t="s">
        <v>299</v>
      </c>
      <c r="K85" s="160" t="s">
        <v>298</v>
      </c>
      <c r="L85" s="166" t="s">
        <v>326</v>
      </c>
      <c r="M85" s="166" t="s">
        <v>325</v>
      </c>
      <c r="N85" s="250"/>
      <c r="O85" s="235"/>
    </row>
    <row r="86" spans="1:15" s="39" customFormat="1" ht="30" customHeight="1">
      <c r="A86" s="149" t="s">
        <v>185</v>
      </c>
      <c r="B86" s="122" t="s">
        <v>49</v>
      </c>
      <c r="C86" s="67" t="s">
        <v>350</v>
      </c>
      <c r="D86" s="62">
        <v>1</v>
      </c>
      <c r="E86" s="148" t="s">
        <v>43</v>
      </c>
      <c r="F86" s="168">
        <v>737</v>
      </c>
      <c r="G86" s="168">
        <v>737</v>
      </c>
      <c r="H86" s="65">
        <f t="shared" si="12"/>
        <v>0</v>
      </c>
      <c r="I86" s="54"/>
      <c r="J86" s="162" t="s">
        <v>299</v>
      </c>
      <c r="K86" s="160" t="s">
        <v>298</v>
      </c>
      <c r="L86" s="166" t="s">
        <v>326</v>
      </c>
      <c r="M86" s="166" t="s">
        <v>325</v>
      </c>
      <c r="N86" s="250"/>
      <c r="O86" s="235"/>
    </row>
    <row r="87" spans="1:15" s="39" customFormat="1" ht="30" customHeight="1">
      <c r="A87" s="149" t="s">
        <v>185</v>
      </c>
      <c r="B87" s="122" t="s">
        <v>50</v>
      </c>
      <c r="C87" s="67" t="s">
        <v>476</v>
      </c>
      <c r="D87" s="62">
        <v>2</v>
      </c>
      <c r="E87" s="148" t="s">
        <v>43</v>
      </c>
      <c r="F87" s="168">
        <v>42</v>
      </c>
      <c r="G87" s="168">
        <v>42</v>
      </c>
      <c r="H87" s="65">
        <f t="shared" si="12"/>
        <v>0</v>
      </c>
      <c r="I87" s="54"/>
      <c r="J87" s="162" t="s">
        <v>299</v>
      </c>
      <c r="K87" s="160" t="s">
        <v>298</v>
      </c>
      <c r="L87" s="166" t="s">
        <v>326</v>
      </c>
      <c r="M87" s="166" t="s">
        <v>325</v>
      </c>
      <c r="N87" s="250"/>
      <c r="O87" s="235"/>
    </row>
    <row r="88" spans="1:15" s="39" customFormat="1" ht="30" customHeight="1">
      <c r="A88" s="149" t="s">
        <v>240</v>
      </c>
      <c r="B88" s="122" t="s">
        <v>51</v>
      </c>
      <c r="C88" s="61" t="s">
        <v>349</v>
      </c>
      <c r="D88" s="62">
        <v>5</v>
      </c>
      <c r="E88" s="148" t="s">
        <v>43</v>
      </c>
      <c r="F88" s="68">
        <v>1155.55</v>
      </c>
      <c r="G88" s="68">
        <v>1155.55</v>
      </c>
      <c r="H88" s="65">
        <f t="shared" si="12"/>
        <v>0</v>
      </c>
      <c r="I88" s="54"/>
      <c r="J88" s="162" t="s">
        <v>299</v>
      </c>
      <c r="K88" s="160" t="s">
        <v>298</v>
      </c>
      <c r="L88" s="166" t="s">
        <v>326</v>
      </c>
      <c r="M88" s="166" t="s">
        <v>325</v>
      </c>
      <c r="N88" s="250"/>
      <c r="O88" s="235"/>
    </row>
    <row r="89" spans="1:15" s="39" customFormat="1" ht="30" customHeight="1">
      <c r="A89" s="149" t="s">
        <v>269</v>
      </c>
      <c r="B89" s="122" t="s">
        <v>52</v>
      </c>
      <c r="C89" s="147" t="s">
        <v>270</v>
      </c>
      <c r="D89" s="62">
        <v>140</v>
      </c>
      <c r="E89" s="148" t="s">
        <v>43</v>
      </c>
      <c r="F89" s="68">
        <v>2786</v>
      </c>
      <c r="G89" s="68">
        <v>2786</v>
      </c>
      <c r="H89" s="65">
        <f t="shared" si="12"/>
        <v>0</v>
      </c>
      <c r="I89" s="54"/>
      <c r="J89" s="162" t="s">
        <v>299</v>
      </c>
      <c r="K89" s="160" t="s">
        <v>298</v>
      </c>
      <c r="L89" s="166" t="s">
        <v>326</v>
      </c>
      <c r="M89" s="166" t="s">
        <v>325</v>
      </c>
      <c r="N89" s="250"/>
      <c r="O89" s="235"/>
    </row>
    <row r="90" spans="1:15" s="39" customFormat="1" ht="30" customHeight="1">
      <c r="A90" s="149" t="s">
        <v>153</v>
      </c>
      <c r="B90" s="122" t="s">
        <v>53</v>
      </c>
      <c r="C90" s="61" t="s">
        <v>351</v>
      </c>
      <c r="D90" s="62">
        <v>10</v>
      </c>
      <c r="E90" s="148" t="s">
        <v>43</v>
      </c>
      <c r="F90" s="68">
        <v>1047</v>
      </c>
      <c r="G90" s="68">
        <v>1047</v>
      </c>
      <c r="H90" s="65">
        <f t="shared" si="12"/>
        <v>0</v>
      </c>
      <c r="I90" s="54"/>
      <c r="J90" s="162" t="s">
        <v>299</v>
      </c>
      <c r="K90" s="160" t="s">
        <v>298</v>
      </c>
      <c r="L90" s="166" t="s">
        <v>326</v>
      </c>
      <c r="M90" s="166" t="s">
        <v>325</v>
      </c>
      <c r="N90" s="250"/>
      <c r="O90" s="235"/>
    </row>
    <row r="91" spans="1:15" s="39" customFormat="1" ht="30" customHeight="1">
      <c r="A91" s="149" t="s">
        <v>153</v>
      </c>
      <c r="B91" s="122" t="s">
        <v>54</v>
      </c>
      <c r="C91" s="61" t="s">
        <v>465</v>
      </c>
      <c r="D91" s="62">
        <v>2</v>
      </c>
      <c r="E91" s="148" t="s">
        <v>43</v>
      </c>
      <c r="F91" s="68">
        <v>677.8</v>
      </c>
      <c r="G91" s="68">
        <v>677.8</v>
      </c>
      <c r="H91" s="65">
        <f t="shared" si="12"/>
        <v>0</v>
      </c>
      <c r="I91" s="54"/>
      <c r="J91" s="162" t="s">
        <v>299</v>
      </c>
      <c r="K91" s="160" t="s">
        <v>298</v>
      </c>
      <c r="L91" s="166" t="s">
        <v>326</v>
      </c>
      <c r="M91" s="166" t="s">
        <v>325</v>
      </c>
      <c r="N91" s="250"/>
      <c r="O91" s="235"/>
    </row>
    <row r="92" spans="1:15" s="39" customFormat="1" ht="30" customHeight="1">
      <c r="A92" s="149" t="s">
        <v>153</v>
      </c>
      <c r="B92" s="122" t="s">
        <v>56</v>
      </c>
      <c r="C92" s="61" t="s">
        <v>466</v>
      </c>
      <c r="D92" s="62">
        <v>8</v>
      </c>
      <c r="E92" s="148" t="s">
        <v>43</v>
      </c>
      <c r="F92" s="68">
        <v>552</v>
      </c>
      <c r="G92" s="68">
        <v>552</v>
      </c>
      <c r="H92" s="65">
        <f t="shared" si="12"/>
        <v>0</v>
      </c>
      <c r="I92" s="54"/>
      <c r="J92" s="162" t="s">
        <v>299</v>
      </c>
      <c r="K92" s="160" t="s">
        <v>298</v>
      </c>
      <c r="L92" s="166" t="s">
        <v>326</v>
      </c>
      <c r="M92" s="166" t="s">
        <v>325</v>
      </c>
      <c r="N92" s="250"/>
      <c r="O92" s="235"/>
    </row>
    <row r="93" spans="1:15" s="39" customFormat="1" ht="30" customHeight="1">
      <c r="A93" s="149" t="s">
        <v>153</v>
      </c>
      <c r="B93" s="122" t="s">
        <v>57</v>
      </c>
      <c r="C93" s="61" t="s">
        <v>467</v>
      </c>
      <c r="D93" s="62">
        <v>8</v>
      </c>
      <c r="E93" s="148" t="s">
        <v>43</v>
      </c>
      <c r="F93" s="68">
        <v>144</v>
      </c>
      <c r="G93" s="68">
        <v>144</v>
      </c>
      <c r="H93" s="65">
        <f t="shared" si="12"/>
        <v>0</v>
      </c>
      <c r="I93" s="54"/>
      <c r="J93" s="162" t="s">
        <v>299</v>
      </c>
      <c r="K93" s="160" t="s">
        <v>298</v>
      </c>
      <c r="L93" s="166" t="s">
        <v>326</v>
      </c>
      <c r="M93" s="166" t="s">
        <v>325</v>
      </c>
      <c r="N93" s="250"/>
      <c r="O93" s="235"/>
    </row>
    <row r="94" spans="1:15" s="39" customFormat="1" ht="30" customHeight="1">
      <c r="A94" s="149" t="s">
        <v>153</v>
      </c>
      <c r="B94" s="122" t="s">
        <v>58</v>
      </c>
      <c r="C94" s="61" t="s">
        <v>467</v>
      </c>
      <c r="D94" s="62">
        <v>40</v>
      </c>
      <c r="E94" s="148" t="s">
        <v>43</v>
      </c>
      <c r="F94" s="68">
        <v>720</v>
      </c>
      <c r="G94" s="68">
        <v>720</v>
      </c>
      <c r="H94" s="65">
        <f t="shared" si="12"/>
        <v>0</v>
      </c>
      <c r="I94" s="54"/>
      <c r="J94" s="162" t="s">
        <v>299</v>
      </c>
      <c r="K94" s="160" t="s">
        <v>298</v>
      </c>
      <c r="L94" s="166" t="s">
        <v>326</v>
      </c>
      <c r="M94" s="166" t="s">
        <v>325</v>
      </c>
      <c r="N94" s="250"/>
      <c r="O94" s="235"/>
    </row>
    <row r="95" spans="1:15" s="39" customFormat="1" ht="30" customHeight="1">
      <c r="A95" s="149" t="s">
        <v>153</v>
      </c>
      <c r="B95" s="122" t="s">
        <v>126</v>
      </c>
      <c r="C95" s="61" t="s">
        <v>468</v>
      </c>
      <c r="D95" s="62">
        <v>40</v>
      </c>
      <c r="E95" s="148" t="s">
        <v>43</v>
      </c>
      <c r="F95" s="68">
        <v>276</v>
      </c>
      <c r="G95" s="68">
        <v>276</v>
      </c>
      <c r="H95" s="65">
        <f t="shared" si="12"/>
        <v>0</v>
      </c>
      <c r="I95" s="54"/>
      <c r="J95" s="162" t="s">
        <v>299</v>
      </c>
      <c r="K95" s="160" t="s">
        <v>298</v>
      </c>
      <c r="L95" s="166" t="s">
        <v>326</v>
      </c>
      <c r="M95" s="166" t="s">
        <v>325</v>
      </c>
      <c r="N95" s="250"/>
      <c r="O95" s="235"/>
    </row>
    <row r="96" spans="1:15" s="39" customFormat="1" ht="30" customHeight="1">
      <c r="A96" s="149" t="s">
        <v>153</v>
      </c>
      <c r="B96" s="212" t="s">
        <v>60</v>
      </c>
      <c r="C96" s="61" t="s">
        <v>537</v>
      </c>
      <c r="D96" s="62">
        <v>7</v>
      </c>
      <c r="E96" s="148" t="s">
        <v>43</v>
      </c>
      <c r="F96" s="68">
        <v>600.65</v>
      </c>
      <c r="G96" s="68">
        <v>600.65</v>
      </c>
      <c r="H96" s="65">
        <f t="shared" si="12"/>
        <v>0</v>
      </c>
      <c r="I96" s="54"/>
      <c r="J96" s="162" t="s">
        <v>299</v>
      </c>
      <c r="K96" s="160" t="s">
        <v>298</v>
      </c>
      <c r="L96" s="166" t="s">
        <v>326</v>
      </c>
      <c r="M96" s="166" t="s">
        <v>325</v>
      </c>
      <c r="N96" s="250"/>
      <c r="O96" s="235"/>
    </row>
    <row r="97" spans="1:15" s="39" customFormat="1" ht="30" customHeight="1">
      <c r="A97" s="149" t="s">
        <v>153</v>
      </c>
      <c r="B97" s="212" t="s">
        <v>61</v>
      </c>
      <c r="C97" s="61" t="s">
        <v>536</v>
      </c>
      <c r="D97" s="62">
        <v>2</v>
      </c>
      <c r="E97" s="148" t="s">
        <v>43</v>
      </c>
      <c r="F97" s="68">
        <v>398</v>
      </c>
      <c r="G97" s="68">
        <v>398</v>
      </c>
      <c r="H97" s="65">
        <f t="shared" si="12"/>
        <v>0</v>
      </c>
      <c r="I97" s="54"/>
      <c r="J97" s="162" t="s">
        <v>299</v>
      </c>
      <c r="K97" s="160" t="s">
        <v>298</v>
      </c>
      <c r="L97" s="166" t="s">
        <v>326</v>
      </c>
      <c r="M97" s="166" t="s">
        <v>325</v>
      </c>
      <c r="N97" s="250"/>
      <c r="O97" s="235"/>
    </row>
    <row r="98" spans="1:15" s="39" customFormat="1" ht="30" customHeight="1">
      <c r="A98" s="149" t="s">
        <v>153</v>
      </c>
      <c r="B98" s="212" t="s">
        <v>115</v>
      </c>
      <c r="C98" s="61" t="s">
        <v>533</v>
      </c>
      <c r="D98" s="62">
        <v>5</v>
      </c>
      <c r="E98" s="148" t="s">
        <v>43</v>
      </c>
      <c r="F98" s="68">
        <v>284.5</v>
      </c>
      <c r="G98" s="68">
        <v>284.5</v>
      </c>
      <c r="H98" s="65">
        <f t="shared" si="12"/>
        <v>0</v>
      </c>
      <c r="I98" s="54"/>
      <c r="J98" s="162" t="s">
        <v>299</v>
      </c>
      <c r="K98" s="160" t="s">
        <v>298</v>
      </c>
      <c r="L98" s="166" t="s">
        <v>326</v>
      </c>
      <c r="M98" s="166" t="s">
        <v>325</v>
      </c>
      <c r="N98" s="250"/>
      <c r="O98" s="235"/>
    </row>
    <row r="99" spans="1:15" s="39" customFormat="1" ht="30" customHeight="1">
      <c r="A99" s="149"/>
      <c r="B99" s="212" t="s">
        <v>116</v>
      </c>
      <c r="C99" s="61" t="s">
        <v>594</v>
      </c>
      <c r="D99" s="62">
        <v>1</v>
      </c>
      <c r="E99" s="148" t="s">
        <v>20</v>
      </c>
      <c r="F99" s="233">
        <v>2351.61</v>
      </c>
      <c r="G99" s="233">
        <v>2351.61</v>
      </c>
      <c r="H99" s="65">
        <f t="shared" si="12"/>
        <v>0</v>
      </c>
      <c r="I99" s="54"/>
      <c r="J99" s="162" t="s">
        <v>299</v>
      </c>
      <c r="K99" s="160" t="s">
        <v>298</v>
      </c>
      <c r="L99" s="166" t="s">
        <v>326</v>
      </c>
      <c r="M99" s="166" t="s">
        <v>325</v>
      </c>
      <c r="N99" s="250"/>
      <c r="O99" s="235"/>
    </row>
    <row r="100" spans="1:15" s="39" customFormat="1" ht="30" customHeight="1">
      <c r="A100" s="149" t="s">
        <v>269</v>
      </c>
      <c r="B100" s="122" t="s">
        <v>128</v>
      </c>
      <c r="C100" s="61" t="s">
        <v>272</v>
      </c>
      <c r="D100" s="62">
        <v>1</v>
      </c>
      <c r="E100" s="148" t="s">
        <v>43</v>
      </c>
      <c r="F100" s="239">
        <v>2579.0100000000002</v>
      </c>
      <c r="G100" s="239">
        <v>2579.0100000000002</v>
      </c>
      <c r="H100" s="239">
        <f t="shared" si="12"/>
        <v>0</v>
      </c>
      <c r="I100" s="54"/>
      <c r="J100" s="162" t="s">
        <v>45</v>
      </c>
      <c r="K100" s="160" t="s">
        <v>298</v>
      </c>
      <c r="L100" s="166" t="s">
        <v>326</v>
      </c>
      <c r="M100" s="166" t="s">
        <v>325</v>
      </c>
      <c r="N100" s="250"/>
      <c r="O100" s="235"/>
    </row>
    <row r="101" spans="1:15" s="39" customFormat="1" ht="30" customHeight="1">
      <c r="A101" s="149" t="s">
        <v>269</v>
      </c>
      <c r="B101" s="122" t="s">
        <v>369</v>
      </c>
      <c r="C101" s="67" t="s">
        <v>271</v>
      </c>
      <c r="D101" s="62">
        <v>6</v>
      </c>
      <c r="E101" s="62" t="s">
        <v>43</v>
      </c>
      <c r="F101" s="241"/>
      <c r="G101" s="241"/>
      <c r="H101" s="241"/>
      <c r="I101" s="54"/>
      <c r="J101" s="162" t="s">
        <v>45</v>
      </c>
      <c r="K101" s="160" t="s">
        <v>298</v>
      </c>
      <c r="L101" s="166" t="s">
        <v>326</v>
      </c>
      <c r="M101" s="166" t="s">
        <v>325</v>
      </c>
      <c r="N101" s="250"/>
      <c r="O101" s="235"/>
    </row>
    <row r="102" spans="1:15" s="39" customFormat="1" ht="30" customHeight="1">
      <c r="A102" s="149" t="s">
        <v>269</v>
      </c>
      <c r="B102" s="122" t="s">
        <v>370</v>
      </c>
      <c r="C102" s="67" t="s">
        <v>364</v>
      </c>
      <c r="D102" s="62">
        <v>1</v>
      </c>
      <c r="E102" s="62" t="s">
        <v>43</v>
      </c>
      <c r="F102" s="66">
        <v>373</v>
      </c>
      <c r="G102" s="66">
        <v>373</v>
      </c>
      <c r="H102" s="65">
        <f t="shared" ref="H102:H104" si="13">G102-F102</f>
        <v>0</v>
      </c>
      <c r="I102" s="54"/>
      <c r="J102" s="162" t="s">
        <v>45</v>
      </c>
      <c r="K102" s="160" t="s">
        <v>298</v>
      </c>
      <c r="L102" s="166" t="s">
        <v>326</v>
      </c>
      <c r="M102" s="166" t="s">
        <v>325</v>
      </c>
      <c r="N102" s="250"/>
      <c r="O102" s="235"/>
    </row>
    <row r="103" spans="1:15" s="39" customFormat="1" ht="30" customHeight="1">
      <c r="A103" s="149" t="s">
        <v>269</v>
      </c>
      <c r="B103" s="122" t="s">
        <v>470</v>
      </c>
      <c r="C103" s="67" t="s">
        <v>362</v>
      </c>
      <c r="D103" s="62">
        <v>7</v>
      </c>
      <c r="E103" s="62" t="s">
        <v>43</v>
      </c>
      <c r="F103" s="66">
        <v>1240.05</v>
      </c>
      <c r="G103" s="66">
        <v>1240.05</v>
      </c>
      <c r="H103" s="65">
        <f>G103-F103</f>
        <v>0</v>
      </c>
      <c r="I103" s="54"/>
      <c r="J103" s="162" t="s">
        <v>45</v>
      </c>
      <c r="K103" s="160" t="s">
        <v>298</v>
      </c>
      <c r="L103" s="166" t="s">
        <v>326</v>
      </c>
      <c r="M103" s="166" t="s">
        <v>325</v>
      </c>
    </row>
    <row r="104" spans="1:15" s="39" customFormat="1" ht="30" customHeight="1">
      <c r="A104" s="149" t="s">
        <v>269</v>
      </c>
      <c r="B104" s="122" t="s">
        <v>471</v>
      </c>
      <c r="C104" s="67" t="s">
        <v>55</v>
      </c>
      <c r="D104" s="62">
        <v>1</v>
      </c>
      <c r="E104" s="62" t="s">
        <v>20</v>
      </c>
      <c r="F104" s="271">
        <v>11298.73</v>
      </c>
      <c r="G104" s="271">
        <v>11298.73</v>
      </c>
      <c r="H104" s="239">
        <f t="shared" si="13"/>
        <v>0</v>
      </c>
      <c r="I104" s="240"/>
      <c r="J104" s="246" t="s">
        <v>96</v>
      </c>
      <c r="K104" s="279" t="s">
        <v>298</v>
      </c>
      <c r="L104" s="251" t="s">
        <v>326</v>
      </c>
      <c r="M104" s="236" t="s">
        <v>325</v>
      </c>
      <c r="N104" s="78"/>
      <c r="O104" s="235"/>
    </row>
    <row r="105" spans="1:15" s="39" customFormat="1" ht="30" customHeight="1">
      <c r="A105" s="149" t="s">
        <v>269</v>
      </c>
      <c r="B105" s="122" t="s">
        <v>472</v>
      </c>
      <c r="C105" s="61" t="s">
        <v>122</v>
      </c>
      <c r="D105" s="62">
        <v>1</v>
      </c>
      <c r="E105" s="62" t="s">
        <v>20</v>
      </c>
      <c r="F105" s="271"/>
      <c r="G105" s="271"/>
      <c r="H105" s="240"/>
      <c r="I105" s="240"/>
      <c r="J105" s="277"/>
      <c r="K105" s="280"/>
      <c r="L105" s="252"/>
      <c r="M105" s="237"/>
      <c r="N105" s="78"/>
      <c r="O105" s="235"/>
    </row>
    <row r="106" spans="1:15" s="39" customFormat="1" ht="30" customHeight="1">
      <c r="A106" s="149" t="s">
        <v>269</v>
      </c>
      <c r="B106" s="122" t="s">
        <v>473</v>
      </c>
      <c r="C106" s="69" t="s">
        <v>59</v>
      </c>
      <c r="D106" s="62">
        <v>1</v>
      </c>
      <c r="E106" s="62" t="s">
        <v>20</v>
      </c>
      <c r="F106" s="271"/>
      <c r="G106" s="271"/>
      <c r="H106" s="240"/>
      <c r="I106" s="240"/>
      <c r="J106" s="277"/>
      <c r="K106" s="280"/>
      <c r="L106" s="252"/>
      <c r="M106" s="237"/>
      <c r="N106" s="78"/>
    </row>
    <row r="107" spans="1:15" s="39" customFormat="1" ht="30" customHeight="1">
      <c r="A107" s="149" t="s">
        <v>269</v>
      </c>
      <c r="B107" s="212" t="s">
        <v>474</v>
      </c>
      <c r="C107" s="67" t="s">
        <v>124</v>
      </c>
      <c r="D107" s="62">
        <v>1</v>
      </c>
      <c r="E107" s="62" t="s">
        <v>20</v>
      </c>
      <c r="F107" s="272"/>
      <c r="G107" s="272"/>
      <c r="H107" s="241"/>
      <c r="I107" s="241"/>
      <c r="J107" s="278"/>
      <c r="K107" s="281"/>
      <c r="L107" s="253"/>
      <c r="M107" s="238"/>
      <c r="N107" s="78"/>
    </row>
    <row r="108" spans="1:15" s="39" customFormat="1" ht="30" customHeight="1">
      <c r="A108" s="149" t="s">
        <v>153</v>
      </c>
      <c r="B108" s="122" t="s">
        <v>475</v>
      </c>
      <c r="C108" s="67" t="s">
        <v>484</v>
      </c>
      <c r="D108" s="62">
        <v>1</v>
      </c>
      <c r="E108" s="62" t="s">
        <v>20</v>
      </c>
      <c r="F108" s="174">
        <v>559.39</v>
      </c>
      <c r="G108" s="174">
        <v>559.39</v>
      </c>
      <c r="H108" s="65">
        <f t="shared" ref="H108:H112" si="14">G108-F108</f>
        <v>0</v>
      </c>
      <c r="I108" s="174"/>
      <c r="J108" s="161" t="s">
        <v>441</v>
      </c>
      <c r="K108" s="160" t="s">
        <v>298</v>
      </c>
      <c r="L108" s="166" t="s">
        <v>326</v>
      </c>
      <c r="M108" s="166" t="s">
        <v>325</v>
      </c>
      <c r="N108" s="78"/>
    </row>
    <row r="109" spans="1:15" s="39" customFormat="1" ht="30" customHeight="1">
      <c r="A109" s="149" t="s">
        <v>149</v>
      </c>
      <c r="B109" s="122" t="s">
        <v>477</v>
      </c>
      <c r="C109" s="67" t="s">
        <v>456</v>
      </c>
      <c r="D109" s="62">
        <v>1</v>
      </c>
      <c r="E109" s="148" t="s">
        <v>43</v>
      </c>
      <c r="F109" s="68">
        <v>501.69</v>
      </c>
      <c r="G109" s="68">
        <v>501.69</v>
      </c>
      <c r="H109" s="65">
        <f t="shared" si="14"/>
        <v>0</v>
      </c>
      <c r="I109" s="112"/>
      <c r="J109" s="162" t="s">
        <v>45</v>
      </c>
      <c r="K109" s="160" t="s">
        <v>298</v>
      </c>
      <c r="L109" s="166" t="s">
        <v>326</v>
      </c>
      <c r="M109" s="166" t="s">
        <v>325</v>
      </c>
      <c r="N109" s="78"/>
    </row>
    <row r="110" spans="1:15" s="39" customFormat="1" ht="30" customHeight="1">
      <c r="A110" s="149" t="s">
        <v>153</v>
      </c>
      <c r="B110" s="122" t="s">
        <v>483</v>
      </c>
      <c r="C110" s="67" t="s">
        <v>368</v>
      </c>
      <c r="D110" s="62">
        <v>5</v>
      </c>
      <c r="E110" s="148" t="s">
        <v>43</v>
      </c>
      <c r="F110" s="68">
        <v>5386.4</v>
      </c>
      <c r="G110" s="68">
        <v>5386.4</v>
      </c>
      <c r="H110" s="65">
        <f t="shared" si="14"/>
        <v>0</v>
      </c>
      <c r="I110" s="112"/>
      <c r="J110" s="162" t="s">
        <v>45</v>
      </c>
      <c r="K110" s="160" t="s">
        <v>298</v>
      </c>
      <c r="L110" s="166" t="s">
        <v>326</v>
      </c>
      <c r="M110" s="166" t="s">
        <v>325</v>
      </c>
      <c r="N110" s="78"/>
    </row>
    <row r="111" spans="1:15" s="39" customFormat="1" ht="30" customHeight="1">
      <c r="A111" s="149" t="s">
        <v>269</v>
      </c>
      <c r="B111" s="122" t="s">
        <v>534</v>
      </c>
      <c r="C111" s="67" t="s">
        <v>129</v>
      </c>
      <c r="D111" s="62">
        <v>1</v>
      </c>
      <c r="E111" s="126" t="s">
        <v>43</v>
      </c>
      <c r="F111" s="68">
        <v>895.11</v>
      </c>
      <c r="G111" s="68">
        <v>895.11</v>
      </c>
      <c r="H111" s="65">
        <f t="shared" si="14"/>
        <v>0</v>
      </c>
      <c r="I111" s="112"/>
      <c r="J111" s="162" t="s">
        <v>45</v>
      </c>
      <c r="K111" s="160" t="s">
        <v>298</v>
      </c>
      <c r="L111" s="166" t="s">
        <v>326</v>
      </c>
      <c r="M111" s="166" t="s">
        <v>325</v>
      </c>
    </row>
    <row r="112" spans="1:15" s="39" customFormat="1" ht="30" customHeight="1">
      <c r="A112" s="149" t="s">
        <v>269</v>
      </c>
      <c r="B112" s="122" t="s">
        <v>535</v>
      </c>
      <c r="C112" s="67" t="s">
        <v>127</v>
      </c>
      <c r="D112" s="62">
        <v>8</v>
      </c>
      <c r="E112" s="62" t="s">
        <v>20</v>
      </c>
      <c r="F112" s="55">
        <v>1418</v>
      </c>
      <c r="G112" s="55">
        <v>1418</v>
      </c>
      <c r="H112" s="65">
        <f t="shared" si="14"/>
        <v>0</v>
      </c>
      <c r="I112" s="73"/>
      <c r="J112" s="162" t="s">
        <v>45</v>
      </c>
      <c r="K112" s="160" t="s">
        <v>298</v>
      </c>
      <c r="L112" s="166" t="s">
        <v>326</v>
      </c>
      <c r="M112" s="166" t="s">
        <v>325</v>
      </c>
    </row>
    <row r="113" spans="1:15" s="39" customFormat="1" ht="30" customHeight="1">
      <c r="A113" s="43"/>
      <c r="B113" s="59"/>
      <c r="C113" s="45"/>
      <c r="D113" s="60"/>
      <c r="E113" s="60"/>
      <c r="F113" s="48"/>
      <c r="G113" s="48"/>
      <c r="H113" s="48"/>
      <c r="I113" s="48"/>
      <c r="J113" s="72"/>
      <c r="K113" s="72"/>
      <c r="L113" s="72"/>
      <c r="M113" s="118"/>
    </row>
    <row r="114" spans="1:15" s="39" customFormat="1" ht="30" customHeight="1">
      <c r="A114" s="41">
        <v>5</v>
      </c>
      <c r="B114" s="41"/>
      <c r="C114" s="41" t="s">
        <v>62</v>
      </c>
      <c r="D114" s="41"/>
      <c r="E114" s="41"/>
      <c r="F114" s="41"/>
      <c r="G114" s="41"/>
      <c r="H114" s="41"/>
      <c r="I114" s="41"/>
      <c r="J114" s="41"/>
      <c r="K114" s="41"/>
      <c r="L114" s="41"/>
      <c r="M114" s="41"/>
    </row>
    <row r="115" spans="1:15" s="39" customFormat="1" ht="30" customHeight="1">
      <c r="A115" s="152" t="s">
        <v>174</v>
      </c>
      <c r="B115" s="50" t="s">
        <v>63</v>
      </c>
      <c r="C115" s="69" t="s">
        <v>175</v>
      </c>
      <c r="D115" s="52">
        <v>2</v>
      </c>
      <c r="E115" s="120" t="s">
        <v>43</v>
      </c>
      <c r="F115" s="125">
        <v>1799.7</v>
      </c>
      <c r="G115" s="125">
        <v>1799.7</v>
      </c>
      <c r="H115" s="65">
        <f t="shared" ref="H115:H123" si="15">G115-F115</f>
        <v>0</v>
      </c>
      <c r="I115" s="160" t="s">
        <v>459</v>
      </c>
      <c r="J115" s="163" t="s">
        <v>300</v>
      </c>
      <c r="K115" s="164" t="s">
        <v>298</v>
      </c>
      <c r="L115" s="166" t="s">
        <v>326</v>
      </c>
      <c r="M115" s="166" t="s">
        <v>325</v>
      </c>
    </row>
    <row r="116" spans="1:15" s="39" customFormat="1" ht="30" customHeight="1">
      <c r="A116" s="152" t="s">
        <v>174</v>
      </c>
      <c r="B116" s="214" t="s">
        <v>64</v>
      </c>
      <c r="C116" s="69" t="s">
        <v>176</v>
      </c>
      <c r="D116" s="71">
        <v>4</v>
      </c>
      <c r="E116" s="138" t="s">
        <v>43</v>
      </c>
      <c r="F116" s="124">
        <v>1963.56</v>
      </c>
      <c r="G116" s="124">
        <v>1963.56</v>
      </c>
      <c r="H116" s="65">
        <f t="shared" si="15"/>
        <v>0</v>
      </c>
      <c r="I116" s="131" t="s">
        <v>459</v>
      </c>
      <c r="J116" s="163" t="s">
        <v>499</v>
      </c>
      <c r="K116" s="164" t="s">
        <v>298</v>
      </c>
      <c r="L116" s="166" t="s">
        <v>326</v>
      </c>
      <c r="M116" s="166" t="s">
        <v>325</v>
      </c>
    </row>
    <row r="117" spans="1:15" s="39" customFormat="1" ht="30" customHeight="1">
      <c r="A117" s="152" t="s">
        <v>174</v>
      </c>
      <c r="B117" s="50" t="s">
        <v>177</v>
      </c>
      <c r="C117" s="69" t="s">
        <v>503</v>
      </c>
      <c r="D117" s="71">
        <v>2</v>
      </c>
      <c r="E117" s="138" t="s">
        <v>43</v>
      </c>
      <c r="F117" s="124">
        <v>559.79999999999995</v>
      </c>
      <c r="G117" s="124">
        <v>559.79999999999995</v>
      </c>
      <c r="H117" s="65">
        <f t="shared" si="15"/>
        <v>0</v>
      </c>
      <c r="I117" s="131" t="s">
        <v>459</v>
      </c>
      <c r="J117" s="163" t="s">
        <v>499</v>
      </c>
      <c r="K117" s="164" t="s">
        <v>298</v>
      </c>
      <c r="L117" s="166" t="s">
        <v>326</v>
      </c>
      <c r="M117" s="166" t="s">
        <v>325</v>
      </c>
    </row>
    <row r="118" spans="1:15" s="39" customFormat="1" ht="30" customHeight="1">
      <c r="A118" s="152" t="s">
        <v>505</v>
      </c>
      <c r="B118" s="136" t="s">
        <v>178</v>
      </c>
      <c r="C118" s="69" t="s">
        <v>502</v>
      </c>
      <c r="D118" s="71">
        <v>2</v>
      </c>
      <c r="E118" s="138" t="s">
        <v>43</v>
      </c>
      <c r="F118" s="124">
        <v>380.52</v>
      </c>
      <c r="G118" s="124">
        <v>380.52</v>
      </c>
      <c r="H118" s="65">
        <f t="shared" si="15"/>
        <v>0</v>
      </c>
      <c r="I118" s="131" t="s">
        <v>459</v>
      </c>
      <c r="J118" s="163" t="s">
        <v>499</v>
      </c>
      <c r="K118" s="164" t="s">
        <v>298</v>
      </c>
      <c r="L118" s="166" t="s">
        <v>326</v>
      </c>
      <c r="M118" s="166" t="s">
        <v>325</v>
      </c>
    </row>
    <row r="119" spans="1:15" s="39" customFormat="1" ht="30" customHeight="1">
      <c r="A119" s="152" t="s">
        <v>501</v>
      </c>
      <c r="B119" s="50" t="s">
        <v>248</v>
      </c>
      <c r="C119" s="69" t="s">
        <v>500</v>
      </c>
      <c r="D119" s="71">
        <v>1</v>
      </c>
      <c r="E119" s="138" t="s">
        <v>43</v>
      </c>
      <c r="F119" s="124">
        <v>929.9</v>
      </c>
      <c r="G119" s="124">
        <v>929.9</v>
      </c>
      <c r="H119" s="65">
        <f t="shared" si="15"/>
        <v>0</v>
      </c>
      <c r="I119" s="131" t="s">
        <v>459</v>
      </c>
      <c r="J119" s="163" t="s">
        <v>499</v>
      </c>
      <c r="K119" s="164" t="s">
        <v>298</v>
      </c>
      <c r="L119" s="166" t="s">
        <v>326</v>
      </c>
      <c r="M119" s="166" t="s">
        <v>325</v>
      </c>
    </row>
    <row r="120" spans="1:15" s="39" customFormat="1" ht="30" customHeight="1">
      <c r="A120" s="152" t="s">
        <v>153</v>
      </c>
      <c r="B120" s="136" t="s">
        <v>313</v>
      </c>
      <c r="C120" s="69" t="s">
        <v>539</v>
      </c>
      <c r="D120" s="71">
        <v>1</v>
      </c>
      <c r="E120" s="138" t="s">
        <v>20</v>
      </c>
      <c r="F120" s="124">
        <v>2840.9</v>
      </c>
      <c r="G120" s="124">
        <v>2840.9</v>
      </c>
      <c r="H120" s="65">
        <f t="shared" si="15"/>
        <v>0</v>
      </c>
      <c r="I120" s="131" t="s">
        <v>459</v>
      </c>
      <c r="J120" s="163" t="s">
        <v>499</v>
      </c>
      <c r="K120" s="164" t="s">
        <v>298</v>
      </c>
      <c r="L120" s="166" t="s">
        <v>326</v>
      </c>
      <c r="M120" s="166" t="s">
        <v>325</v>
      </c>
    </row>
    <row r="121" spans="1:15" s="39" customFormat="1" ht="30" customHeight="1">
      <c r="A121" s="152" t="s">
        <v>153</v>
      </c>
      <c r="B121" s="50" t="s">
        <v>330</v>
      </c>
      <c r="C121" s="69" t="s">
        <v>538</v>
      </c>
      <c r="D121" s="71">
        <v>3</v>
      </c>
      <c r="E121" s="138" t="s">
        <v>43</v>
      </c>
      <c r="F121" s="124">
        <v>882</v>
      </c>
      <c r="G121" s="124">
        <v>882</v>
      </c>
      <c r="H121" s="65">
        <f t="shared" si="15"/>
        <v>0</v>
      </c>
      <c r="I121" s="131" t="s">
        <v>459</v>
      </c>
      <c r="J121" s="163" t="s">
        <v>45</v>
      </c>
      <c r="K121" s="164" t="s">
        <v>298</v>
      </c>
      <c r="L121" s="166" t="s">
        <v>326</v>
      </c>
      <c r="M121" s="166" t="s">
        <v>325</v>
      </c>
    </row>
    <row r="122" spans="1:15" s="39" customFormat="1" ht="30" customHeight="1">
      <c r="A122" s="152" t="s">
        <v>174</v>
      </c>
      <c r="B122" s="136" t="s">
        <v>506</v>
      </c>
      <c r="C122" s="69" t="s">
        <v>314</v>
      </c>
      <c r="D122" s="71">
        <v>5</v>
      </c>
      <c r="E122" s="138" t="s">
        <v>43</v>
      </c>
      <c r="F122" s="124">
        <v>1111.74</v>
      </c>
      <c r="G122" s="124">
        <v>1111.74</v>
      </c>
      <c r="H122" s="65">
        <f t="shared" si="15"/>
        <v>0</v>
      </c>
      <c r="I122" s="131" t="s">
        <v>459</v>
      </c>
      <c r="J122" s="163" t="s">
        <v>499</v>
      </c>
      <c r="K122" s="164" t="s">
        <v>298</v>
      </c>
      <c r="L122" s="166" t="s">
        <v>326</v>
      </c>
      <c r="M122" s="166" t="s">
        <v>325</v>
      </c>
    </row>
    <row r="123" spans="1:15" s="39" customFormat="1" ht="30" customHeight="1">
      <c r="A123" s="152" t="s">
        <v>242</v>
      </c>
      <c r="B123" s="50" t="s">
        <v>507</v>
      </c>
      <c r="C123" s="69" t="s">
        <v>614</v>
      </c>
      <c r="D123" s="71">
        <v>1</v>
      </c>
      <c r="E123" s="138" t="s">
        <v>43</v>
      </c>
      <c r="F123" s="169">
        <v>245</v>
      </c>
      <c r="G123" s="169">
        <v>245</v>
      </c>
      <c r="H123" s="65">
        <f t="shared" si="15"/>
        <v>0</v>
      </c>
      <c r="I123" s="132" t="s">
        <v>459</v>
      </c>
      <c r="J123" s="163" t="s">
        <v>504</v>
      </c>
      <c r="K123" s="164" t="s">
        <v>298</v>
      </c>
      <c r="L123" s="166" t="s">
        <v>326</v>
      </c>
      <c r="M123" s="166" t="s">
        <v>325</v>
      </c>
    </row>
    <row r="124" spans="1:15" s="39" customFormat="1" ht="30" customHeight="1">
      <c r="A124" s="43"/>
      <c r="B124" s="59"/>
      <c r="C124" s="45"/>
      <c r="D124" s="60"/>
      <c r="E124" s="60"/>
      <c r="F124" s="48"/>
      <c r="G124" s="48"/>
      <c r="H124" s="48"/>
      <c r="I124" s="48"/>
      <c r="J124" s="72"/>
      <c r="K124" s="72"/>
      <c r="L124" s="72"/>
      <c r="M124" s="118"/>
    </row>
    <row r="125" spans="1:15" s="39" customFormat="1" ht="30" customHeight="1">
      <c r="A125" s="41">
        <v>6</v>
      </c>
      <c r="B125" s="41"/>
      <c r="C125" s="41" t="s">
        <v>65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</row>
    <row r="126" spans="1:15" s="39" customFormat="1" ht="30" customHeight="1">
      <c r="A126" s="149" t="s">
        <v>163</v>
      </c>
      <c r="B126" s="50" t="s">
        <v>66</v>
      </c>
      <c r="C126" s="147" t="s">
        <v>164</v>
      </c>
      <c r="D126" s="62">
        <v>1</v>
      </c>
      <c r="E126" s="62" t="s">
        <v>20</v>
      </c>
      <c r="F126" s="54">
        <v>13898</v>
      </c>
      <c r="G126" s="54">
        <v>13898</v>
      </c>
      <c r="H126" s="65">
        <f t="shared" ref="H126:H135" si="16">G126-F126</f>
        <v>0</v>
      </c>
      <c r="I126" s="111" t="s">
        <v>430</v>
      </c>
      <c r="J126" s="141" t="s">
        <v>301</v>
      </c>
      <c r="K126" s="160" t="s">
        <v>295</v>
      </c>
      <c r="L126" s="166" t="s">
        <v>326</v>
      </c>
      <c r="M126" s="166" t="s">
        <v>325</v>
      </c>
    </row>
    <row r="127" spans="1:15" s="39" customFormat="1" ht="30" customHeight="1">
      <c r="A127" s="149" t="s">
        <v>179</v>
      </c>
      <c r="B127" s="79" t="s">
        <v>67</v>
      </c>
      <c r="C127" s="134" t="s">
        <v>322</v>
      </c>
      <c r="D127" s="62">
        <v>1</v>
      </c>
      <c r="E127" s="148" t="s">
        <v>43</v>
      </c>
      <c r="F127" s="54">
        <v>1149</v>
      </c>
      <c r="G127" s="54">
        <v>1149</v>
      </c>
      <c r="H127" s="65">
        <f t="shared" si="16"/>
        <v>0</v>
      </c>
      <c r="I127" s="111" t="s">
        <v>430</v>
      </c>
      <c r="J127" s="141" t="s">
        <v>301</v>
      </c>
      <c r="K127" s="160" t="s">
        <v>295</v>
      </c>
      <c r="L127" s="166" t="s">
        <v>326</v>
      </c>
      <c r="M127" s="166" t="s">
        <v>325</v>
      </c>
      <c r="N127" s="250"/>
      <c r="O127" s="235"/>
    </row>
    <row r="128" spans="1:15" s="39" customFormat="1" ht="30" customHeight="1">
      <c r="A128" s="149" t="s">
        <v>185</v>
      </c>
      <c r="B128" s="50" t="s">
        <v>68</v>
      </c>
      <c r="C128" s="134" t="s">
        <v>322</v>
      </c>
      <c r="D128" s="62">
        <v>1</v>
      </c>
      <c r="E128" s="148" t="s">
        <v>43</v>
      </c>
      <c r="F128" s="54">
        <v>745</v>
      </c>
      <c r="G128" s="54">
        <v>745</v>
      </c>
      <c r="H128" s="65">
        <f t="shared" si="16"/>
        <v>0</v>
      </c>
      <c r="I128" s="111" t="s">
        <v>430</v>
      </c>
      <c r="J128" s="141" t="s">
        <v>301</v>
      </c>
      <c r="K128" s="160" t="s">
        <v>295</v>
      </c>
      <c r="L128" s="166" t="s">
        <v>326</v>
      </c>
      <c r="M128" s="166" t="s">
        <v>325</v>
      </c>
      <c r="N128" s="250"/>
      <c r="O128" s="235"/>
    </row>
    <row r="129" spans="1:19" s="39" customFormat="1" ht="30" customHeight="1">
      <c r="A129" s="149" t="s">
        <v>206</v>
      </c>
      <c r="B129" s="79" t="s">
        <v>69</v>
      </c>
      <c r="C129" s="134" t="s">
        <v>342</v>
      </c>
      <c r="D129" s="62">
        <v>1</v>
      </c>
      <c r="E129" s="148" t="s">
        <v>43</v>
      </c>
      <c r="F129" s="54">
        <v>175</v>
      </c>
      <c r="G129" s="54">
        <v>175</v>
      </c>
      <c r="H129" s="65">
        <f t="shared" si="16"/>
        <v>0</v>
      </c>
      <c r="I129" s="111" t="s">
        <v>430</v>
      </c>
      <c r="J129" s="141" t="s">
        <v>301</v>
      </c>
      <c r="K129" s="160" t="s">
        <v>295</v>
      </c>
      <c r="L129" s="166" t="s">
        <v>326</v>
      </c>
      <c r="M129" s="166" t="s">
        <v>325</v>
      </c>
      <c r="N129" s="250"/>
      <c r="O129" s="235"/>
    </row>
    <row r="130" spans="1:19" s="39" customFormat="1" ht="30" customHeight="1">
      <c r="A130" s="149" t="s">
        <v>206</v>
      </c>
      <c r="B130" s="50" t="s">
        <v>70</v>
      </c>
      <c r="C130" s="134" t="s">
        <v>205</v>
      </c>
      <c r="D130" s="62">
        <v>1</v>
      </c>
      <c r="E130" s="148" t="s">
        <v>43</v>
      </c>
      <c r="F130" s="54">
        <v>605</v>
      </c>
      <c r="G130" s="54">
        <v>605</v>
      </c>
      <c r="H130" s="65">
        <f t="shared" si="16"/>
        <v>0</v>
      </c>
      <c r="I130" s="111" t="s">
        <v>430</v>
      </c>
      <c r="J130" s="141" t="s">
        <v>301</v>
      </c>
      <c r="K130" s="160" t="s">
        <v>295</v>
      </c>
      <c r="L130" s="166" t="s">
        <v>326</v>
      </c>
      <c r="M130" s="166" t="s">
        <v>325</v>
      </c>
      <c r="N130" s="250"/>
      <c r="O130" s="235"/>
    </row>
    <row r="131" spans="1:19" s="39" customFormat="1" ht="30" customHeight="1">
      <c r="A131" s="149" t="s">
        <v>206</v>
      </c>
      <c r="B131" s="79" t="s">
        <v>71</v>
      </c>
      <c r="C131" s="134" t="s">
        <v>207</v>
      </c>
      <c r="D131" s="62">
        <v>1</v>
      </c>
      <c r="E131" s="148" t="s">
        <v>43</v>
      </c>
      <c r="F131" s="54">
        <v>4457</v>
      </c>
      <c r="G131" s="54">
        <v>4457</v>
      </c>
      <c r="H131" s="65">
        <f t="shared" si="16"/>
        <v>0</v>
      </c>
      <c r="I131" s="111" t="s">
        <v>430</v>
      </c>
      <c r="J131" s="141" t="s">
        <v>301</v>
      </c>
      <c r="K131" s="160" t="s">
        <v>295</v>
      </c>
      <c r="L131" s="166" t="s">
        <v>326</v>
      </c>
      <c r="M131" s="166" t="s">
        <v>325</v>
      </c>
      <c r="N131" s="250"/>
      <c r="O131" s="235"/>
    </row>
    <row r="132" spans="1:19" s="39" customFormat="1" ht="30" customHeight="1">
      <c r="A132" s="149" t="s">
        <v>404</v>
      </c>
      <c r="B132" s="50" t="s">
        <v>72</v>
      </c>
      <c r="C132" s="134" t="s">
        <v>386</v>
      </c>
      <c r="D132" s="62">
        <v>2</v>
      </c>
      <c r="E132" s="148" t="s">
        <v>43</v>
      </c>
      <c r="F132" s="54">
        <v>5620</v>
      </c>
      <c r="G132" s="54">
        <v>5620</v>
      </c>
      <c r="H132" s="65">
        <f t="shared" si="16"/>
        <v>0</v>
      </c>
      <c r="I132" s="111" t="s">
        <v>430</v>
      </c>
      <c r="J132" s="141" t="s">
        <v>301</v>
      </c>
      <c r="K132" s="160" t="s">
        <v>295</v>
      </c>
      <c r="L132" s="166" t="s">
        <v>326</v>
      </c>
      <c r="M132" s="166" t="s">
        <v>325</v>
      </c>
      <c r="N132" s="250"/>
      <c r="O132" s="235"/>
    </row>
    <row r="133" spans="1:19" s="39" customFormat="1" ht="30" customHeight="1">
      <c r="A133" s="149" t="s">
        <v>242</v>
      </c>
      <c r="B133" s="79" t="s">
        <v>387</v>
      </c>
      <c r="C133" s="134" t="s">
        <v>322</v>
      </c>
      <c r="D133" s="62">
        <v>2</v>
      </c>
      <c r="E133" s="148" t="s">
        <v>43</v>
      </c>
      <c r="F133" s="54">
        <v>1838</v>
      </c>
      <c r="G133" s="54">
        <v>1838</v>
      </c>
      <c r="H133" s="65">
        <f t="shared" ref="H133:H134" si="17">G133-F133</f>
        <v>0</v>
      </c>
      <c r="I133" s="111" t="s">
        <v>430</v>
      </c>
      <c r="J133" s="141" t="s">
        <v>301</v>
      </c>
      <c r="K133" s="160" t="s">
        <v>295</v>
      </c>
      <c r="L133" s="166" t="s">
        <v>326</v>
      </c>
      <c r="M133" s="166" t="s">
        <v>325</v>
      </c>
      <c r="N133" s="250"/>
      <c r="O133" s="235"/>
    </row>
    <row r="134" spans="1:19" s="39" customFormat="1" ht="30" customHeight="1">
      <c r="A134" s="149" t="s">
        <v>592</v>
      </c>
      <c r="B134" s="214" t="s">
        <v>587</v>
      </c>
      <c r="C134" s="134" t="s">
        <v>593</v>
      </c>
      <c r="D134" s="62">
        <v>2</v>
      </c>
      <c r="E134" s="148" t="s">
        <v>43</v>
      </c>
      <c r="F134" s="54">
        <v>1450</v>
      </c>
      <c r="G134" s="54"/>
      <c r="H134" s="65">
        <f t="shared" si="17"/>
        <v>-1450</v>
      </c>
      <c r="I134" s="234" t="s">
        <v>615</v>
      </c>
      <c r="J134" s="141" t="s">
        <v>301</v>
      </c>
      <c r="K134" s="160" t="s">
        <v>295</v>
      </c>
      <c r="L134" s="178" t="s">
        <v>405</v>
      </c>
      <c r="M134" s="178" t="s">
        <v>585</v>
      </c>
      <c r="N134" s="250"/>
      <c r="O134" s="235"/>
    </row>
    <row r="135" spans="1:19" s="39" customFormat="1" ht="30" customHeight="1">
      <c r="A135" s="149" t="s">
        <v>163</v>
      </c>
      <c r="B135" s="211" t="s">
        <v>591</v>
      </c>
      <c r="C135" s="134" t="s">
        <v>586</v>
      </c>
      <c r="D135" s="62">
        <v>1</v>
      </c>
      <c r="E135" s="148" t="s">
        <v>43</v>
      </c>
      <c r="F135" s="54">
        <v>900</v>
      </c>
      <c r="G135" s="54">
        <v>900</v>
      </c>
      <c r="H135" s="65">
        <f t="shared" si="16"/>
        <v>0</v>
      </c>
      <c r="I135" s="132" t="s">
        <v>459</v>
      </c>
      <c r="J135" s="141" t="s">
        <v>301</v>
      </c>
      <c r="K135" s="160" t="s">
        <v>295</v>
      </c>
      <c r="L135" s="166" t="s">
        <v>326</v>
      </c>
      <c r="M135" s="166" t="s">
        <v>325</v>
      </c>
      <c r="N135" s="250"/>
      <c r="O135" s="235"/>
    </row>
    <row r="136" spans="1:19" s="39" customFormat="1" ht="30" customHeight="1">
      <c r="A136" s="80"/>
      <c r="B136" s="26"/>
      <c r="C136" s="81"/>
      <c r="D136" s="82"/>
      <c r="E136" s="82"/>
      <c r="F136" s="83"/>
      <c r="G136" s="83"/>
      <c r="H136" s="84"/>
      <c r="I136" s="84"/>
      <c r="J136" s="100"/>
      <c r="K136" s="100"/>
      <c r="L136" s="100"/>
      <c r="M136" s="118"/>
    </row>
    <row r="137" spans="1:19" s="39" customFormat="1" ht="30" customHeight="1">
      <c r="A137" s="41">
        <v>7</v>
      </c>
      <c r="B137" s="41"/>
      <c r="C137" s="41" t="s">
        <v>73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</row>
    <row r="138" spans="1:19" s="39" customFormat="1" ht="30" customHeight="1">
      <c r="A138" s="70"/>
      <c r="B138" s="50" t="s">
        <v>74</v>
      </c>
      <c r="C138" s="61" t="s">
        <v>75</v>
      </c>
      <c r="D138" s="62"/>
      <c r="E138" s="62"/>
      <c r="F138" s="85"/>
      <c r="G138" s="66"/>
      <c r="H138" s="65"/>
      <c r="I138" s="54"/>
      <c r="J138" s="77"/>
      <c r="K138" s="76"/>
      <c r="L138" s="76"/>
      <c r="M138" s="117" t="s">
        <v>76</v>
      </c>
    </row>
    <row r="139" spans="1:19" s="39" customFormat="1" ht="30" customHeight="1">
      <c r="A139" s="80"/>
      <c r="B139" s="26"/>
      <c r="C139" s="86"/>
      <c r="D139" s="82"/>
      <c r="E139" s="82"/>
      <c r="F139" s="83"/>
      <c r="G139" s="84"/>
      <c r="H139" s="84"/>
      <c r="I139" s="84"/>
      <c r="J139" s="101"/>
      <c r="K139" s="101"/>
      <c r="L139" s="101"/>
      <c r="M139" s="118"/>
    </row>
    <row r="140" spans="1:19" s="39" customFormat="1" ht="30" customHeight="1">
      <c r="A140" s="41">
        <v>8</v>
      </c>
      <c r="B140" s="41"/>
      <c r="C140" s="41" t="s">
        <v>77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/>
      <c r="O140"/>
      <c r="P140"/>
      <c r="S140"/>
    </row>
    <row r="141" spans="1:19" s="39" customFormat="1" ht="30" customHeight="1">
      <c r="A141" s="149" t="s">
        <v>241</v>
      </c>
      <c r="B141" s="136" t="s">
        <v>78</v>
      </c>
      <c r="C141" s="87" t="s">
        <v>80</v>
      </c>
      <c r="D141" s="64">
        <v>4</v>
      </c>
      <c r="E141" s="64" t="s">
        <v>43</v>
      </c>
      <c r="F141" s="68">
        <v>110.31</v>
      </c>
      <c r="G141" s="68">
        <v>110.31</v>
      </c>
      <c r="H141" s="65">
        <f t="shared" ref="H141:H142" si="18">G141-F141</f>
        <v>0</v>
      </c>
      <c r="I141" s="132" t="s">
        <v>459</v>
      </c>
      <c r="J141" s="162" t="s">
        <v>45</v>
      </c>
      <c r="K141" s="160" t="s">
        <v>298</v>
      </c>
      <c r="L141" s="166" t="s">
        <v>326</v>
      </c>
      <c r="M141" s="166" t="s">
        <v>325</v>
      </c>
      <c r="N141" s="250"/>
      <c r="O141" s="235"/>
      <c r="P141"/>
      <c r="S141"/>
    </row>
    <row r="142" spans="1:19" s="39" customFormat="1" ht="30" customHeight="1">
      <c r="A142" s="149" t="s">
        <v>241</v>
      </c>
      <c r="B142" s="136" t="s">
        <v>79</v>
      </c>
      <c r="C142" s="121" t="s">
        <v>120</v>
      </c>
      <c r="D142" s="64">
        <v>5</v>
      </c>
      <c r="E142" s="155" t="s">
        <v>43</v>
      </c>
      <c r="F142" s="66">
        <v>213.54</v>
      </c>
      <c r="G142" s="66">
        <v>213.54</v>
      </c>
      <c r="H142" s="65">
        <f t="shared" si="18"/>
        <v>0</v>
      </c>
      <c r="I142" s="132" t="s">
        <v>459</v>
      </c>
      <c r="J142" s="162" t="s">
        <v>45</v>
      </c>
      <c r="K142" s="160" t="s">
        <v>298</v>
      </c>
      <c r="L142" s="166" t="s">
        <v>326</v>
      </c>
      <c r="M142" s="166" t="s">
        <v>325</v>
      </c>
      <c r="N142" s="250"/>
      <c r="O142" s="235"/>
      <c r="P142"/>
      <c r="S142"/>
    </row>
    <row r="143" spans="1:19" s="39" customFormat="1" ht="30" customHeight="1">
      <c r="A143" s="80"/>
      <c r="B143" s="88"/>
      <c r="C143" s="86"/>
      <c r="D143" s="89"/>
      <c r="E143" s="89"/>
      <c r="F143" s="84"/>
      <c r="G143" s="84"/>
      <c r="H143" s="84"/>
      <c r="I143" s="84"/>
      <c r="J143" s="129"/>
      <c r="K143" s="101"/>
      <c r="L143" s="101"/>
      <c r="M143" s="118"/>
    </row>
    <row r="144" spans="1:19" s="39" customFormat="1" ht="30" customHeight="1">
      <c r="A144" s="41">
        <v>9</v>
      </c>
      <c r="B144" s="41"/>
      <c r="C144" s="41" t="s">
        <v>81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/>
      <c r="O144"/>
      <c r="P144"/>
      <c r="S144"/>
    </row>
    <row r="145" spans="1:19" s="39" customFormat="1" ht="30" customHeight="1">
      <c r="A145" s="149" t="s">
        <v>149</v>
      </c>
      <c r="B145" s="50" t="s">
        <v>82</v>
      </c>
      <c r="C145" s="147" t="s">
        <v>151</v>
      </c>
      <c r="D145" s="62">
        <v>1</v>
      </c>
      <c r="E145" s="62" t="s">
        <v>43</v>
      </c>
      <c r="F145" s="68">
        <v>165</v>
      </c>
      <c r="G145" s="68">
        <v>165</v>
      </c>
      <c r="H145" s="65">
        <f t="shared" ref="H145:H152" si="19">G145-F145</f>
        <v>0</v>
      </c>
      <c r="I145" s="132" t="s">
        <v>459</v>
      </c>
      <c r="J145" s="130" t="s">
        <v>302</v>
      </c>
      <c r="K145" s="160" t="s">
        <v>298</v>
      </c>
      <c r="L145" s="166" t="s">
        <v>326</v>
      </c>
      <c r="M145" s="166" t="s">
        <v>325</v>
      </c>
      <c r="N145" s="250"/>
      <c r="O145" s="235"/>
      <c r="P145"/>
      <c r="S145"/>
    </row>
    <row r="146" spans="1:19" s="39" customFormat="1" ht="30" customHeight="1">
      <c r="A146" s="149" t="s">
        <v>152</v>
      </c>
      <c r="B146" s="50" t="s">
        <v>83</v>
      </c>
      <c r="C146" s="147" t="s">
        <v>329</v>
      </c>
      <c r="D146" s="62">
        <v>2</v>
      </c>
      <c r="E146" s="62" t="s">
        <v>43</v>
      </c>
      <c r="F146" s="66">
        <v>330</v>
      </c>
      <c r="G146" s="66">
        <v>330</v>
      </c>
      <c r="H146" s="65">
        <f t="shared" si="19"/>
        <v>0</v>
      </c>
      <c r="I146" s="132" t="s">
        <v>459</v>
      </c>
      <c r="J146" s="130" t="s">
        <v>302</v>
      </c>
      <c r="K146" s="160" t="s">
        <v>298</v>
      </c>
      <c r="L146" s="166" t="s">
        <v>326</v>
      </c>
      <c r="M146" s="166" t="s">
        <v>325</v>
      </c>
      <c r="N146" s="250"/>
      <c r="O146" s="235"/>
      <c r="P146"/>
      <c r="S146"/>
    </row>
    <row r="147" spans="1:19" s="39" customFormat="1" ht="30" customHeight="1">
      <c r="A147" s="149" t="s">
        <v>206</v>
      </c>
      <c r="B147" s="50" t="s">
        <v>84</v>
      </c>
      <c r="C147" s="147" t="s">
        <v>220</v>
      </c>
      <c r="D147" s="62">
        <v>3</v>
      </c>
      <c r="E147" s="148" t="s">
        <v>43</v>
      </c>
      <c r="F147" s="65">
        <v>264</v>
      </c>
      <c r="G147" s="65">
        <v>264</v>
      </c>
      <c r="H147" s="65">
        <f t="shared" si="19"/>
        <v>0</v>
      </c>
      <c r="I147" s="132" t="s">
        <v>459</v>
      </c>
      <c r="J147" s="130" t="s">
        <v>302</v>
      </c>
      <c r="K147" s="160" t="s">
        <v>298</v>
      </c>
      <c r="L147" s="166" t="s">
        <v>326</v>
      </c>
      <c r="M147" s="166" t="s">
        <v>325</v>
      </c>
      <c r="N147" s="250"/>
      <c r="O147" s="235"/>
      <c r="P147"/>
      <c r="S147"/>
    </row>
    <row r="148" spans="1:19" s="39" customFormat="1" ht="30" customHeight="1">
      <c r="A148" s="149" t="s">
        <v>208</v>
      </c>
      <c r="B148" s="50" t="s">
        <v>219</v>
      </c>
      <c r="C148" s="147" t="s">
        <v>165</v>
      </c>
      <c r="D148" s="62">
        <v>10</v>
      </c>
      <c r="E148" s="148" t="s">
        <v>43</v>
      </c>
      <c r="F148" s="65">
        <v>528</v>
      </c>
      <c r="G148" s="65">
        <v>528</v>
      </c>
      <c r="H148" s="65">
        <f t="shared" si="19"/>
        <v>0</v>
      </c>
      <c r="I148" s="132" t="s">
        <v>459</v>
      </c>
      <c r="J148" s="130" t="s">
        <v>302</v>
      </c>
      <c r="K148" s="160" t="s">
        <v>298</v>
      </c>
      <c r="L148" s="166" t="s">
        <v>326</v>
      </c>
      <c r="M148" s="166" t="s">
        <v>325</v>
      </c>
      <c r="N148" s="250"/>
      <c r="O148" s="235"/>
      <c r="P148"/>
      <c r="S148"/>
    </row>
    <row r="149" spans="1:19" s="39" customFormat="1" ht="30" customHeight="1">
      <c r="A149" s="149" t="s">
        <v>241</v>
      </c>
      <c r="B149" s="50" t="s">
        <v>263</v>
      </c>
      <c r="C149" s="147" t="s">
        <v>264</v>
      </c>
      <c r="D149" s="62">
        <v>1</v>
      </c>
      <c r="E149" s="148" t="s">
        <v>43</v>
      </c>
      <c r="F149" s="65">
        <v>143</v>
      </c>
      <c r="G149" s="65">
        <v>143</v>
      </c>
      <c r="H149" s="65">
        <f t="shared" si="19"/>
        <v>0</v>
      </c>
      <c r="I149" s="132" t="s">
        <v>459</v>
      </c>
      <c r="J149" s="130" t="s">
        <v>302</v>
      </c>
      <c r="K149" s="160" t="s">
        <v>298</v>
      </c>
      <c r="L149" s="166" t="s">
        <v>326</v>
      </c>
      <c r="M149" s="166" t="s">
        <v>325</v>
      </c>
      <c r="N149" s="250"/>
      <c r="O149" s="235"/>
      <c r="P149"/>
      <c r="S149"/>
    </row>
    <row r="150" spans="1:19" s="39" customFormat="1" ht="30" customHeight="1">
      <c r="A150" s="149" t="s">
        <v>222</v>
      </c>
      <c r="B150" s="210" t="s">
        <v>356</v>
      </c>
      <c r="C150" s="147" t="s">
        <v>527</v>
      </c>
      <c r="D150" s="62">
        <v>2</v>
      </c>
      <c r="E150" s="148" t="s">
        <v>43</v>
      </c>
      <c r="F150" s="65">
        <v>1800</v>
      </c>
      <c r="G150" s="65">
        <v>1800</v>
      </c>
      <c r="H150" s="65">
        <f t="shared" si="19"/>
        <v>0</v>
      </c>
      <c r="I150" s="132" t="s">
        <v>459</v>
      </c>
      <c r="J150" s="130" t="s">
        <v>302</v>
      </c>
      <c r="K150" s="160" t="s">
        <v>298</v>
      </c>
      <c r="L150" s="166" t="s">
        <v>326</v>
      </c>
      <c r="M150" s="166" t="s">
        <v>325</v>
      </c>
      <c r="N150" s="250"/>
      <c r="O150" s="235"/>
      <c r="P150"/>
      <c r="S150"/>
    </row>
    <row r="151" spans="1:19" s="39" customFormat="1" ht="30" customHeight="1">
      <c r="A151" s="149" t="s">
        <v>241</v>
      </c>
      <c r="B151" s="50" t="s">
        <v>381</v>
      </c>
      <c r="C151" s="147" t="s">
        <v>357</v>
      </c>
      <c r="D151" s="62">
        <v>1</v>
      </c>
      <c r="E151" s="148" t="s">
        <v>43</v>
      </c>
      <c r="F151" s="65">
        <v>140</v>
      </c>
      <c r="G151" s="65">
        <v>140</v>
      </c>
      <c r="H151" s="65">
        <f t="shared" si="19"/>
        <v>0</v>
      </c>
      <c r="I151" s="132" t="s">
        <v>459</v>
      </c>
      <c r="J151" s="130" t="s">
        <v>302</v>
      </c>
      <c r="K151" s="160" t="s">
        <v>298</v>
      </c>
      <c r="L151" s="166" t="s">
        <v>326</v>
      </c>
      <c r="M151" s="166" t="s">
        <v>325</v>
      </c>
      <c r="N151" s="250"/>
      <c r="O151" s="235"/>
      <c r="P151"/>
      <c r="S151"/>
    </row>
    <row r="152" spans="1:19" s="39" customFormat="1" ht="30" customHeight="1">
      <c r="A152" s="149" t="s">
        <v>380</v>
      </c>
      <c r="B152" s="50" t="s">
        <v>520</v>
      </c>
      <c r="C152" s="147" t="s">
        <v>382</v>
      </c>
      <c r="D152" s="62">
        <v>1</v>
      </c>
      <c r="E152" s="148" t="s">
        <v>43</v>
      </c>
      <c r="F152" s="65">
        <v>5000</v>
      </c>
      <c r="G152" s="133">
        <v>5000</v>
      </c>
      <c r="H152" s="65">
        <f t="shared" si="19"/>
        <v>0</v>
      </c>
      <c r="I152" s="132" t="s">
        <v>459</v>
      </c>
      <c r="J152" s="130" t="s">
        <v>383</v>
      </c>
      <c r="K152" s="160" t="s">
        <v>296</v>
      </c>
      <c r="L152" s="166" t="s">
        <v>326</v>
      </c>
      <c r="M152" s="166" t="s">
        <v>325</v>
      </c>
      <c r="N152" s="250"/>
      <c r="O152" s="235"/>
      <c r="P152"/>
      <c r="S152"/>
    </row>
    <row r="153" spans="1:19" s="39" customFormat="1" ht="30" customHeight="1">
      <c r="A153" s="80"/>
      <c r="B153" s="88"/>
      <c r="C153" s="86"/>
      <c r="D153" s="89"/>
      <c r="E153" s="89"/>
      <c r="F153" s="84"/>
      <c r="G153" s="84"/>
      <c r="H153" s="84"/>
      <c r="I153" s="84"/>
      <c r="J153" s="101"/>
      <c r="K153" s="101"/>
      <c r="L153" s="101"/>
      <c r="M153" s="118"/>
    </row>
    <row r="154" spans="1:19" s="39" customFormat="1" ht="30" customHeight="1">
      <c r="A154" s="41">
        <v>10</v>
      </c>
      <c r="B154" s="41"/>
      <c r="C154" s="41" t="s">
        <v>267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</row>
    <row r="155" spans="1:19" s="39" customFormat="1" ht="30" customHeight="1">
      <c r="A155" s="149" t="s">
        <v>153</v>
      </c>
      <c r="B155" s="136" t="s">
        <v>86</v>
      </c>
      <c r="C155" s="147" t="s">
        <v>250</v>
      </c>
      <c r="D155" s="79">
        <v>1</v>
      </c>
      <c r="E155" s="79" t="s">
        <v>20</v>
      </c>
      <c r="F155" s="55">
        <v>11785.71</v>
      </c>
      <c r="G155" s="55">
        <v>11785.71</v>
      </c>
      <c r="H155" s="65">
        <f t="shared" ref="H155:H156" si="20">G155-F155</f>
        <v>0</v>
      </c>
      <c r="I155" s="130" t="s">
        <v>431</v>
      </c>
      <c r="J155" s="131" t="s">
        <v>297</v>
      </c>
      <c r="K155" s="160" t="s">
        <v>296</v>
      </c>
      <c r="L155" s="166" t="s">
        <v>326</v>
      </c>
      <c r="M155" s="166" t="s">
        <v>325</v>
      </c>
    </row>
    <row r="156" spans="1:19" s="39" customFormat="1" ht="30" customHeight="1">
      <c r="A156" s="149" t="s">
        <v>153</v>
      </c>
      <c r="B156" s="210" t="s">
        <v>268</v>
      </c>
      <c r="C156" s="147" t="s">
        <v>498</v>
      </c>
      <c r="D156" s="79">
        <v>1</v>
      </c>
      <c r="E156" s="79" t="s">
        <v>20</v>
      </c>
      <c r="F156" s="56">
        <v>3008.64</v>
      </c>
      <c r="G156" s="56">
        <v>3008.64</v>
      </c>
      <c r="H156" s="65">
        <f t="shared" si="20"/>
        <v>0</v>
      </c>
      <c r="I156" s="160" t="s">
        <v>421</v>
      </c>
      <c r="J156" s="131" t="s">
        <v>541</v>
      </c>
      <c r="K156" s="160" t="s">
        <v>298</v>
      </c>
      <c r="L156" s="166" t="s">
        <v>326</v>
      </c>
      <c r="M156" s="166" t="s">
        <v>325</v>
      </c>
    </row>
    <row r="157" spans="1:19" s="39" customFormat="1" ht="30" customHeight="1">
      <c r="A157" s="149" t="s">
        <v>222</v>
      </c>
      <c r="B157" s="211" t="s">
        <v>345</v>
      </c>
      <c r="C157" s="147" t="s">
        <v>590</v>
      </c>
      <c r="D157" s="79">
        <v>1</v>
      </c>
      <c r="E157" s="153" t="s">
        <v>20</v>
      </c>
      <c r="F157" s="239">
        <v>12000</v>
      </c>
      <c r="G157" s="239">
        <v>12000</v>
      </c>
      <c r="H157" s="239">
        <f>SUM(G157-F157)</f>
        <v>0</v>
      </c>
      <c r="I157" s="242" t="s">
        <v>421</v>
      </c>
      <c r="J157" s="131" t="s">
        <v>303</v>
      </c>
      <c r="K157" s="160" t="s">
        <v>296</v>
      </c>
      <c r="L157" s="166" t="s">
        <v>326</v>
      </c>
      <c r="M157" s="166" t="s">
        <v>325</v>
      </c>
    </row>
    <row r="158" spans="1:19" s="39" customFormat="1" ht="30" customHeight="1">
      <c r="A158" s="149" t="s">
        <v>153</v>
      </c>
      <c r="B158" s="136" t="s">
        <v>346</v>
      </c>
      <c r="C158" s="147" t="s">
        <v>251</v>
      </c>
      <c r="D158" s="79">
        <v>1</v>
      </c>
      <c r="E158" s="79" t="s">
        <v>20</v>
      </c>
      <c r="F158" s="240"/>
      <c r="G158" s="240"/>
      <c r="H158" s="240"/>
      <c r="I158" s="279"/>
      <c r="J158" s="131" t="s">
        <v>303</v>
      </c>
      <c r="K158" s="160" t="s">
        <v>296</v>
      </c>
      <c r="L158" s="166" t="s">
        <v>326</v>
      </c>
      <c r="M158" s="166" t="s">
        <v>325</v>
      </c>
    </row>
    <row r="159" spans="1:19" s="39" customFormat="1" ht="30" customHeight="1">
      <c r="A159" s="149" t="s">
        <v>153</v>
      </c>
      <c r="B159" s="136" t="s">
        <v>497</v>
      </c>
      <c r="C159" s="147" t="s">
        <v>343</v>
      </c>
      <c r="D159" s="79">
        <v>1</v>
      </c>
      <c r="E159" s="79" t="s">
        <v>20</v>
      </c>
      <c r="F159" s="240"/>
      <c r="G159" s="240"/>
      <c r="H159" s="240"/>
      <c r="I159" s="279"/>
      <c r="J159" s="131" t="s">
        <v>303</v>
      </c>
      <c r="K159" s="160" t="s">
        <v>296</v>
      </c>
      <c r="L159" s="166" t="s">
        <v>326</v>
      </c>
      <c r="M159" s="166" t="s">
        <v>325</v>
      </c>
    </row>
    <row r="160" spans="1:19" s="39" customFormat="1" ht="30" customHeight="1">
      <c r="A160" s="149" t="s">
        <v>153</v>
      </c>
      <c r="B160" s="136" t="s">
        <v>589</v>
      </c>
      <c r="C160" s="147" t="s">
        <v>344</v>
      </c>
      <c r="D160" s="79">
        <v>1</v>
      </c>
      <c r="E160" s="79" t="s">
        <v>20</v>
      </c>
      <c r="F160" s="241"/>
      <c r="G160" s="241"/>
      <c r="H160" s="241"/>
      <c r="I160" s="282"/>
      <c r="J160" s="131" t="s">
        <v>303</v>
      </c>
      <c r="K160" s="160" t="s">
        <v>296</v>
      </c>
      <c r="L160" s="166" t="s">
        <v>326</v>
      </c>
      <c r="M160" s="166" t="s">
        <v>325</v>
      </c>
    </row>
    <row r="161" spans="1:19" s="39" customFormat="1" ht="30" customHeight="1">
      <c r="A161" s="80"/>
      <c r="B161" s="26"/>
      <c r="C161" s="86"/>
      <c r="D161" s="82"/>
      <c r="E161" s="82"/>
      <c r="F161" s="83"/>
      <c r="G161" s="84"/>
      <c r="H161" s="84"/>
      <c r="I161" s="84"/>
      <c r="J161" s="101"/>
      <c r="K161" s="101"/>
      <c r="L161" s="101"/>
      <c r="M161" s="118"/>
    </row>
    <row r="162" spans="1:19" s="39" customFormat="1" ht="30" customHeight="1">
      <c r="A162" s="41">
        <v>11</v>
      </c>
      <c r="B162" s="41"/>
      <c r="C162" s="41" t="s">
        <v>85</v>
      </c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/>
      <c r="O162"/>
      <c r="P162"/>
      <c r="S162"/>
    </row>
    <row r="163" spans="1:19" s="39" customFormat="1" ht="30" customHeight="1">
      <c r="A163" s="149" t="s">
        <v>149</v>
      </c>
      <c r="B163" s="50" t="s">
        <v>87</v>
      </c>
      <c r="C163" s="139" t="s">
        <v>161</v>
      </c>
      <c r="D163" s="62">
        <v>1</v>
      </c>
      <c r="E163" s="148" t="s">
        <v>43</v>
      </c>
      <c r="F163" s="167">
        <v>1</v>
      </c>
      <c r="G163" s="167"/>
      <c r="H163" s="56"/>
      <c r="I163" s="55"/>
      <c r="J163" s="132"/>
      <c r="K163" s="160"/>
      <c r="L163" s="123"/>
      <c r="M163" s="172" t="s">
        <v>150</v>
      </c>
      <c r="N163"/>
      <c r="O163"/>
      <c r="P163"/>
      <c r="S163"/>
    </row>
    <row r="164" spans="1:19" s="39" customFormat="1" ht="30" customHeight="1">
      <c r="A164" s="149" t="s">
        <v>228</v>
      </c>
      <c r="B164" s="50" t="s">
        <v>88</v>
      </c>
      <c r="C164" s="139" t="s">
        <v>378</v>
      </c>
      <c r="D164" s="62">
        <v>1</v>
      </c>
      <c r="E164" s="138" t="s">
        <v>43</v>
      </c>
      <c r="F164" s="132">
        <v>16750</v>
      </c>
      <c r="G164" s="132">
        <v>16750</v>
      </c>
      <c r="H164" s="66">
        <f t="shared" ref="H164" si="21">G164-F164</f>
        <v>0</v>
      </c>
      <c r="I164" s="130" t="s">
        <v>457</v>
      </c>
      <c r="J164" s="132" t="s">
        <v>304</v>
      </c>
      <c r="K164" s="160" t="s">
        <v>295</v>
      </c>
      <c r="L164" s="166" t="s">
        <v>326</v>
      </c>
      <c r="M164" s="166" t="s">
        <v>325</v>
      </c>
      <c r="N164"/>
      <c r="O164"/>
      <c r="P164"/>
      <c r="S164"/>
    </row>
    <row r="165" spans="1:19" s="39" customFormat="1" ht="30" customHeight="1">
      <c r="A165" s="149" t="s">
        <v>162</v>
      </c>
      <c r="B165" s="50" t="s">
        <v>117</v>
      </c>
      <c r="C165" s="139" t="s">
        <v>170</v>
      </c>
      <c r="D165" s="62">
        <v>1</v>
      </c>
      <c r="E165" s="138" t="s">
        <v>43</v>
      </c>
      <c r="F165" s="167">
        <v>5108</v>
      </c>
      <c r="G165" s="167">
        <v>5108</v>
      </c>
      <c r="H165" s="66">
        <f t="shared" ref="H165" si="22">G165-F165</f>
        <v>0</v>
      </c>
      <c r="I165" s="130" t="s">
        <v>457</v>
      </c>
      <c r="J165" s="132" t="s">
        <v>304</v>
      </c>
      <c r="K165" s="160" t="s">
        <v>295</v>
      </c>
      <c r="L165" s="166" t="s">
        <v>326</v>
      </c>
      <c r="M165" s="166" t="s">
        <v>325</v>
      </c>
      <c r="N165"/>
      <c r="O165"/>
      <c r="P165"/>
      <c r="S165"/>
    </row>
    <row r="166" spans="1:19" s="39" customFormat="1" ht="30" customHeight="1">
      <c r="A166" s="149" t="s">
        <v>162</v>
      </c>
      <c r="B166" s="50" t="s">
        <v>171</v>
      </c>
      <c r="C166" s="139" t="s">
        <v>323</v>
      </c>
      <c r="D166" s="62">
        <v>1</v>
      </c>
      <c r="E166" s="138" t="s">
        <v>43</v>
      </c>
      <c r="F166" s="132">
        <v>3470</v>
      </c>
      <c r="G166" s="132">
        <v>3470</v>
      </c>
      <c r="H166" s="66">
        <f t="shared" ref="H166:H171" si="23">G166-F166</f>
        <v>0</v>
      </c>
      <c r="I166" s="130" t="s">
        <v>457</v>
      </c>
      <c r="J166" s="132" t="s">
        <v>304</v>
      </c>
      <c r="K166" s="160" t="s">
        <v>295</v>
      </c>
      <c r="L166" s="166" t="s">
        <v>326</v>
      </c>
      <c r="M166" s="166" t="s">
        <v>325</v>
      </c>
      <c r="N166"/>
      <c r="O166"/>
      <c r="P166"/>
      <c r="S166"/>
    </row>
    <row r="167" spans="1:19" s="39" customFormat="1" ht="30" customHeight="1">
      <c r="A167" s="149" t="s">
        <v>179</v>
      </c>
      <c r="B167" s="50" t="s">
        <v>172</v>
      </c>
      <c r="C167" s="139" t="s">
        <v>180</v>
      </c>
      <c r="D167" s="62">
        <v>4</v>
      </c>
      <c r="E167" s="138" t="s">
        <v>43</v>
      </c>
      <c r="F167" s="132">
        <v>3940</v>
      </c>
      <c r="G167" s="132">
        <v>3940</v>
      </c>
      <c r="H167" s="65">
        <f t="shared" si="23"/>
        <v>0</v>
      </c>
      <c r="I167" s="130" t="s">
        <v>457</v>
      </c>
      <c r="J167" s="132" t="s">
        <v>304</v>
      </c>
      <c r="K167" s="160" t="s">
        <v>295</v>
      </c>
      <c r="L167" s="166" t="s">
        <v>326</v>
      </c>
      <c r="M167" s="166" t="s">
        <v>325</v>
      </c>
      <c r="N167"/>
      <c r="O167"/>
      <c r="P167"/>
      <c r="S167"/>
    </row>
    <row r="168" spans="1:19" s="39" customFormat="1" ht="30" customHeight="1">
      <c r="A168" s="149" t="s">
        <v>186</v>
      </c>
      <c r="B168" s="50" t="s">
        <v>173</v>
      </c>
      <c r="C168" s="139" t="s">
        <v>187</v>
      </c>
      <c r="D168" s="62">
        <v>1</v>
      </c>
      <c r="E168" s="138" t="s">
        <v>43</v>
      </c>
      <c r="F168" s="245">
        <v>11100</v>
      </c>
      <c r="G168" s="245">
        <v>11100</v>
      </c>
      <c r="H168" s="239">
        <f t="shared" si="23"/>
        <v>0</v>
      </c>
      <c r="I168" s="130" t="s">
        <v>457</v>
      </c>
      <c r="J168" s="132" t="s">
        <v>304</v>
      </c>
      <c r="K168" s="160" t="s">
        <v>295</v>
      </c>
      <c r="L168" s="166" t="s">
        <v>326</v>
      </c>
      <c r="M168" s="166" t="s">
        <v>325</v>
      </c>
      <c r="N168"/>
      <c r="O168"/>
      <c r="P168"/>
      <c r="S168"/>
    </row>
    <row r="169" spans="1:19" s="39" customFormat="1" ht="30" customHeight="1">
      <c r="A169" s="149" t="s">
        <v>186</v>
      </c>
      <c r="B169" s="50" t="s">
        <v>188</v>
      </c>
      <c r="C169" s="139" t="s">
        <v>203</v>
      </c>
      <c r="D169" s="62">
        <v>1</v>
      </c>
      <c r="E169" s="138" t="s">
        <v>43</v>
      </c>
      <c r="F169" s="247"/>
      <c r="G169" s="247"/>
      <c r="H169" s="241"/>
      <c r="I169" s="130" t="s">
        <v>457</v>
      </c>
      <c r="J169" s="132" t="s">
        <v>304</v>
      </c>
      <c r="K169" s="160" t="s">
        <v>295</v>
      </c>
      <c r="L169" s="166" t="s">
        <v>326</v>
      </c>
      <c r="M169" s="166" t="s">
        <v>325</v>
      </c>
      <c r="N169"/>
      <c r="O169"/>
      <c r="P169"/>
      <c r="S169"/>
    </row>
    <row r="170" spans="1:19" s="39" customFormat="1" ht="30" customHeight="1">
      <c r="A170" s="149" t="s">
        <v>153</v>
      </c>
      <c r="B170" s="50" t="s">
        <v>189</v>
      </c>
      <c r="C170" s="139" t="s">
        <v>411</v>
      </c>
      <c r="D170" s="62">
        <v>1</v>
      </c>
      <c r="E170" s="138" t="s">
        <v>43</v>
      </c>
      <c r="F170" s="132">
        <v>4500</v>
      </c>
      <c r="G170" s="132">
        <v>4500</v>
      </c>
      <c r="H170" s="65">
        <f t="shared" si="23"/>
        <v>0</v>
      </c>
      <c r="I170" s="130" t="s">
        <v>457</v>
      </c>
      <c r="J170" s="132" t="s">
        <v>304</v>
      </c>
      <c r="K170" s="160" t="s">
        <v>295</v>
      </c>
      <c r="L170" s="166" t="s">
        <v>326</v>
      </c>
      <c r="M170" s="166" t="s">
        <v>325</v>
      </c>
      <c r="N170"/>
      <c r="O170"/>
      <c r="P170"/>
      <c r="S170"/>
    </row>
    <row r="171" spans="1:19" s="39" customFormat="1" ht="30" customHeight="1">
      <c r="A171" s="149" t="s">
        <v>186</v>
      </c>
      <c r="B171" s="50" t="s">
        <v>190</v>
      </c>
      <c r="C171" s="139" t="s">
        <v>202</v>
      </c>
      <c r="D171" s="62">
        <v>1</v>
      </c>
      <c r="E171" s="138" t="s">
        <v>43</v>
      </c>
      <c r="F171" s="132">
        <v>3150</v>
      </c>
      <c r="G171" s="132">
        <v>3150</v>
      </c>
      <c r="H171" s="65">
        <f t="shared" si="23"/>
        <v>0</v>
      </c>
      <c r="I171" s="130" t="s">
        <v>457</v>
      </c>
      <c r="J171" s="132" t="s">
        <v>304</v>
      </c>
      <c r="K171" s="160" t="s">
        <v>295</v>
      </c>
      <c r="L171" s="166" t="s">
        <v>326</v>
      </c>
      <c r="M171" s="166" t="s">
        <v>325</v>
      </c>
      <c r="N171"/>
      <c r="O171"/>
      <c r="P171"/>
      <c r="S171"/>
    </row>
    <row r="172" spans="1:19" s="39" customFormat="1" ht="30" customHeight="1">
      <c r="A172" s="149" t="s">
        <v>206</v>
      </c>
      <c r="B172" s="50" t="s">
        <v>213</v>
      </c>
      <c r="C172" s="139" t="s">
        <v>212</v>
      </c>
      <c r="D172" s="62">
        <v>1</v>
      </c>
      <c r="E172" s="138" t="s">
        <v>43</v>
      </c>
      <c r="F172" s="245">
        <v>5994</v>
      </c>
      <c r="G172" s="245">
        <v>5994</v>
      </c>
      <c r="H172" s="239">
        <f>SUM(G172-F172)</f>
        <v>0</v>
      </c>
      <c r="I172" s="130" t="s">
        <v>457</v>
      </c>
      <c r="J172" s="132" t="s">
        <v>304</v>
      </c>
      <c r="K172" s="160" t="s">
        <v>295</v>
      </c>
      <c r="L172" s="166" t="s">
        <v>326</v>
      </c>
      <c r="M172" s="166" t="s">
        <v>325</v>
      </c>
      <c r="N172"/>
      <c r="O172"/>
      <c r="P172"/>
      <c r="S172"/>
    </row>
    <row r="173" spans="1:19" s="39" customFormat="1" ht="30" customHeight="1">
      <c r="A173" s="149" t="s">
        <v>206</v>
      </c>
      <c r="B173" s="50" t="s">
        <v>214</v>
      </c>
      <c r="C173" s="139" t="s">
        <v>218</v>
      </c>
      <c r="D173" s="62">
        <v>1</v>
      </c>
      <c r="E173" s="138" t="s">
        <v>43</v>
      </c>
      <c r="F173" s="247"/>
      <c r="G173" s="247"/>
      <c r="H173" s="241"/>
      <c r="I173" s="130" t="s">
        <v>457</v>
      </c>
      <c r="J173" s="132" t="s">
        <v>304</v>
      </c>
      <c r="K173" s="160" t="s">
        <v>295</v>
      </c>
      <c r="L173" s="166" t="s">
        <v>326</v>
      </c>
      <c r="M173" s="166" t="s">
        <v>325</v>
      </c>
      <c r="N173"/>
      <c r="O173"/>
      <c r="P173"/>
      <c r="S173"/>
    </row>
    <row r="174" spans="1:19" s="39" customFormat="1" ht="30" customHeight="1">
      <c r="A174" s="149" t="s">
        <v>221</v>
      </c>
      <c r="B174" s="50" t="s">
        <v>215</v>
      </c>
      <c r="C174" s="139" t="s">
        <v>195</v>
      </c>
      <c r="D174" s="62">
        <v>1</v>
      </c>
      <c r="E174" s="138" t="s">
        <v>43</v>
      </c>
      <c r="F174" s="245">
        <v>32680</v>
      </c>
      <c r="G174" s="245">
        <v>32680</v>
      </c>
      <c r="H174" s="239">
        <f>SUM(G174-F174)</f>
        <v>0</v>
      </c>
      <c r="I174" s="130" t="s">
        <v>457</v>
      </c>
      <c r="J174" s="132" t="s">
        <v>304</v>
      </c>
      <c r="K174" s="160" t="s">
        <v>295</v>
      </c>
      <c r="L174" s="166" t="s">
        <v>326</v>
      </c>
      <c r="M174" s="166" t="s">
        <v>377</v>
      </c>
      <c r="N174"/>
      <c r="O174"/>
      <c r="P174"/>
      <c r="S174"/>
    </row>
    <row r="175" spans="1:19" s="39" customFormat="1" ht="30" customHeight="1">
      <c r="A175" s="149" t="s">
        <v>221</v>
      </c>
      <c r="B175" s="50" t="s">
        <v>216</v>
      </c>
      <c r="C175" s="139" t="s">
        <v>233</v>
      </c>
      <c r="D175" s="62">
        <v>1</v>
      </c>
      <c r="E175" s="138" t="s">
        <v>43</v>
      </c>
      <c r="F175" s="246"/>
      <c r="G175" s="246"/>
      <c r="H175" s="240"/>
      <c r="I175" s="130" t="s">
        <v>457</v>
      </c>
      <c r="J175" s="132" t="s">
        <v>304</v>
      </c>
      <c r="K175" s="160" t="s">
        <v>295</v>
      </c>
      <c r="L175" s="166" t="s">
        <v>326</v>
      </c>
      <c r="M175" s="166" t="s">
        <v>377</v>
      </c>
      <c r="N175"/>
      <c r="O175"/>
      <c r="P175"/>
      <c r="S175"/>
    </row>
    <row r="176" spans="1:19" s="39" customFormat="1" ht="30" customHeight="1">
      <c r="A176" s="149" t="s">
        <v>222</v>
      </c>
      <c r="B176" s="50" t="s">
        <v>235</v>
      </c>
      <c r="C176" s="139" t="s">
        <v>233</v>
      </c>
      <c r="D176" s="62">
        <v>1</v>
      </c>
      <c r="E176" s="138" t="s">
        <v>43</v>
      </c>
      <c r="F176" s="246"/>
      <c r="G176" s="246"/>
      <c r="H176" s="240"/>
      <c r="I176" s="130" t="s">
        <v>457</v>
      </c>
      <c r="J176" s="132" t="s">
        <v>304</v>
      </c>
      <c r="K176" s="160" t="s">
        <v>295</v>
      </c>
      <c r="L176" s="166" t="s">
        <v>326</v>
      </c>
      <c r="M176" s="166" t="s">
        <v>377</v>
      </c>
      <c r="N176"/>
      <c r="O176"/>
      <c r="P176"/>
      <c r="S176"/>
    </row>
    <row r="177" spans="1:19" s="39" customFormat="1" ht="30" customHeight="1">
      <c r="A177" s="149" t="s">
        <v>222</v>
      </c>
      <c r="B177" s="50" t="s">
        <v>236</v>
      </c>
      <c r="C177" s="139" t="s">
        <v>232</v>
      </c>
      <c r="D177" s="62">
        <v>1</v>
      </c>
      <c r="E177" s="138" t="s">
        <v>43</v>
      </c>
      <c r="F177" s="246"/>
      <c r="G177" s="246"/>
      <c r="H177" s="240"/>
      <c r="I177" s="130" t="s">
        <v>457</v>
      </c>
      <c r="J177" s="132" t="s">
        <v>304</v>
      </c>
      <c r="K177" s="160" t="s">
        <v>295</v>
      </c>
      <c r="L177" s="166" t="s">
        <v>326</v>
      </c>
      <c r="M177" s="166" t="s">
        <v>377</v>
      </c>
      <c r="N177"/>
      <c r="O177"/>
      <c r="P177"/>
      <c r="S177"/>
    </row>
    <row r="178" spans="1:19" s="39" customFormat="1" ht="30" customHeight="1">
      <c r="A178" s="149" t="s">
        <v>222</v>
      </c>
      <c r="B178" s="50" t="s">
        <v>237</v>
      </c>
      <c r="C178" s="139" t="s">
        <v>234</v>
      </c>
      <c r="D178" s="62">
        <v>1</v>
      </c>
      <c r="E178" s="138" t="s">
        <v>43</v>
      </c>
      <c r="F178" s="247"/>
      <c r="G178" s="247"/>
      <c r="H178" s="241"/>
      <c r="I178" s="130" t="s">
        <v>457</v>
      </c>
      <c r="J178" s="132" t="s">
        <v>304</v>
      </c>
      <c r="K178" s="160" t="s">
        <v>295</v>
      </c>
      <c r="L178" s="166" t="s">
        <v>326</v>
      </c>
      <c r="M178" s="166" t="s">
        <v>377</v>
      </c>
      <c r="N178"/>
      <c r="O178"/>
      <c r="P178"/>
      <c r="S178"/>
    </row>
    <row r="179" spans="1:19" s="39" customFormat="1" ht="30" customHeight="1">
      <c r="A179" s="149" t="s">
        <v>242</v>
      </c>
      <c r="B179" s="50" t="s">
        <v>244</v>
      </c>
      <c r="C179" s="139" t="s">
        <v>243</v>
      </c>
      <c r="D179" s="62">
        <v>2</v>
      </c>
      <c r="E179" s="138" t="s">
        <v>43</v>
      </c>
      <c r="F179" s="132">
        <v>4654</v>
      </c>
      <c r="G179" s="132">
        <v>4654</v>
      </c>
      <c r="H179" s="66">
        <f t="shared" ref="H179" si="24">G179-F179</f>
        <v>0</v>
      </c>
      <c r="I179" s="130" t="s">
        <v>457</v>
      </c>
      <c r="J179" s="132" t="s">
        <v>304</v>
      </c>
      <c r="K179" s="160" t="s">
        <v>295</v>
      </c>
      <c r="L179" s="166" t="s">
        <v>326</v>
      </c>
      <c r="M179" s="178" t="s">
        <v>585</v>
      </c>
      <c r="N179"/>
      <c r="O179"/>
      <c r="P179"/>
      <c r="S179"/>
    </row>
    <row r="180" spans="1:19" s="39" customFormat="1" ht="30" customHeight="1">
      <c r="A180" s="149" t="s">
        <v>242</v>
      </c>
      <c r="B180" s="50" t="s">
        <v>245</v>
      </c>
      <c r="C180" s="139" t="s">
        <v>255</v>
      </c>
      <c r="D180" s="62">
        <v>1</v>
      </c>
      <c r="E180" s="138" t="s">
        <v>43</v>
      </c>
      <c r="F180" s="245">
        <v>16980</v>
      </c>
      <c r="G180" s="245">
        <v>12862</v>
      </c>
      <c r="H180" s="239">
        <f>SUM(G180-F180)</f>
        <v>-4118</v>
      </c>
      <c r="I180" s="130" t="s">
        <v>457</v>
      </c>
      <c r="J180" s="132" t="s">
        <v>304</v>
      </c>
      <c r="K180" s="160" t="s">
        <v>295</v>
      </c>
      <c r="L180" s="166" t="s">
        <v>326</v>
      </c>
      <c r="M180" s="178" t="s">
        <v>585</v>
      </c>
      <c r="N180"/>
      <c r="O180"/>
      <c r="P180"/>
      <c r="S180"/>
    </row>
    <row r="181" spans="1:19" s="39" customFormat="1" ht="30" customHeight="1">
      <c r="A181" s="149" t="s">
        <v>242</v>
      </c>
      <c r="B181" s="50" t="s">
        <v>246</v>
      </c>
      <c r="C181" s="139" t="s">
        <v>324</v>
      </c>
      <c r="D181" s="62">
        <v>1</v>
      </c>
      <c r="E181" s="138" t="s">
        <v>43</v>
      </c>
      <c r="F181" s="246"/>
      <c r="G181" s="240"/>
      <c r="H181" s="240"/>
      <c r="I181" s="130" t="s">
        <v>457</v>
      </c>
      <c r="J181" s="132" t="s">
        <v>304</v>
      </c>
      <c r="K181" s="160" t="s">
        <v>295</v>
      </c>
      <c r="L181" s="166" t="s">
        <v>326</v>
      </c>
      <c r="M181" s="178" t="s">
        <v>585</v>
      </c>
      <c r="N181"/>
      <c r="O181"/>
      <c r="P181"/>
      <c r="S181"/>
    </row>
    <row r="182" spans="1:19" s="39" customFormat="1" ht="30" customHeight="1">
      <c r="A182" s="149" t="s">
        <v>242</v>
      </c>
      <c r="B182" s="50" t="s">
        <v>257</v>
      </c>
      <c r="C182" s="139" t="s">
        <v>256</v>
      </c>
      <c r="D182" s="62">
        <v>1</v>
      </c>
      <c r="E182" s="138" t="s">
        <v>43</v>
      </c>
      <c r="F182" s="247"/>
      <c r="G182" s="241"/>
      <c r="H182" s="241"/>
      <c r="I182" s="130" t="s">
        <v>457</v>
      </c>
      <c r="J182" s="132" t="s">
        <v>304</v>
      </c>
      <c r="K182" s="160" t="s">
        <v>295</v>
      </c>
      <c r="L182" s="166" t="s">
        <v>326</v>
      </c>
      <c r="M182" s="178" t="s">
        <v>585</v>
      </c>
      <c r="N182"/>
      <c r="O182"/>
      <c r="P182"/>
      <c r="S182"/>
    </row>
    <row r="183" spans="1:19" s="39" customFormat="1" ht="30" customHeight="1">
      <c r="A183" s="149" t="s">
        <v>240</v>
      </c>
      <c r="B183" s="50" t="s">
        <v>258</v>
      </c>
      <c r="C183" s="147" t="s">
        <v>227</v>
      </c>
      <c r="D183" s="62">
        <v>5</v>
      </c>
      <c r="E183" s="148" t="s">
        <v>43</v>
      </c>
      <c r="F183" s="132">
        <v>2900</v>
      </c>
      <c r="G183" s="132">
        <v>0</v>
      </c>
      <c r="H183" s="65">
        <f t="shared" ref="H183:H190" si="25">G183-F183</f>
        <v>-2900</v>
      </c>
      <c r="I183" s="130" t="s">
        <v>457</v>
      </c>
      <c r="J183" s="132" t="s">
        <v>304</v>
      </c>
      <c r="K183" s="160" t="s">
        <v>295</v>
      </c>
      <c r="L183" s="166" t="s">
        <v>326</v>
      </c>
      <c r="M183" s="178" t="s">
        <v>585</v>
      </c>
      <c r="N183"/>
      <c r="O183"/>
      <c r="P183"/>
      <c r="S183"/>
    </row>
    <row r="184" spans="1:19" s="39" customFormat="1" ht="30" customHeight="1">
      <c r="A184" s="149" t="s">
        <v>241</v>
      </c>
      <c r="B184" s="50" t="s">
        <v>261</v>
      </c>
      <c r="C184" s="139" t="s">
        <v>260</v>
      </c>
      <c r="D184" s="62">
        <v>2</v>
      </c>
      <c r="E184" s="138" t="s">
        <v>43</v>
      </c>
      <c r="F184" s="132">
        <v>2960</v>
      </c>
      <c r="G184" s="132">
        <v>0</v>
      </c>
      <c r="H184" s="65">
        <f t="shared" si="25"/>
        <v>-2960</v>
      </c>
      <c r="I184" s="130" t="s">
        <v>457</v>
      </c>
      <c r="J184" s="132" t="s">
        <v>304</v>
      </c>
      <c r="K184" s="160" t="s">
        <v>295</v>
      </c>
      <c r="L184" s="166" t="s">
        <v>326</v>
      </c>
      <c r="M184" s="178" t="s">
        <v>585</v>
      </c>
      <c r="N184"/>
      <c r="O184"/>
      <c r="P184"/>
      <c r="S184"/>
    </row>
    <row r="185" spans="1:19" s="39" customFormat="1" ht="30" customHeight="1">
      <c r="A185" s="149" t="s">
        <v>241</v>
      </c>
      <c r="B185" s="50" t="s">
        <v>354</v>
      </c>
      <c r="C185" s="139" t="s">
        <v>259</v>
      </c>
      <c r="D185" s="62">
        <v>1</v>
      </c>
      <c r="E185" s="138" t="s">
        <v>43</v>
      </c>
      <c r="F185" s="132">
        <v>2000</v>
      </c>
      <c r="G185" s="132">
        <v>0</v>
      </c>
      <c r="H185" s="65">
        <f t="shared" si="25"/>
        <v>-2000</v>
      </c>
      <c r="I185" s="130" t="s">
        <v>457</v>
      </c>
      <c r="J185" s="132" t="s">
        <v>304</v>
      </c>
      <c r="K185" s="160" t="s">
        <v>295</v>
      </c>
      <c r="L185" s="166" t="s">
        <v>326</v>
      </c>
      <c r="M185" s="178" t="s">
        <v>585</v>
      </c>
      <c r="N185"/>
      <c r="O185"/>
      <c r="P185"/>
      <c r="S185"/>
    </row>
    <row r="186" spans="1:19" s="39" customFormat="1" ht="30" customHeight="1">
      <c r="A186" s="149" t="s">
        <v>241</v>
      </c>
      <c r="B186" s="50" t="s">
        <v>412</v>
      </c>
      <c r="C186" s="139" t="s">
        <v>262</v>
      </c>
      <c r="D186" s="62">
        <v>5</v>
      </c>
      <c r="E186" s="148" t="s">
        <v>43</v>
      </c>
      <c r="F186" s="132">
        <v>890</v>
      </c>
      <c r="G186" s="132">
        <v>0</v>
      </c>
      <c r="H186" s="65">
        <f t="shared" ref="H186:H189" si="26">G186-F186</f>
        <v>-890</v>
      </c>
      <c r="I186" s="130" t="s">
        <v>458</v>
      </c>
      <c r="J186" s="132" t="s">
        <v>304</v>
      </c>
      <c r="K186" s="160" t="s">
        <v>295</v>
      </c>
      <c r="L186" s="166" t="s">
        <v>326</v>
      </c>
      <c r="M186" s="178" t="s">
        <v>585</v>
      </c>
      <c r="N186"/>
      <c r="O186"/>
      <c r="P186"/>
      <c r="S186"/>
    </row>
    <row r="187" spans="1:19" s="39" customFormat="1" ht="30" customHeight="1">
      <c r="A187" s="149" t="s">
        <v>242</v>
      </c>
      <c r="B187" s="210" t="s">
        <v>515</v>
      </c>
      <c r="C187" s="139" t="s">
        <v>529</v>
      </c>
      <c r="D187" s="62">
        <v>1</v>
      </c>
      <c r="E187" s="148" t="s">
        <v>43</v>
      </c>
      <c r="F187" s="132">
        <v>2062</v>
      </c>
      <c r="G187" s="132">
        <v>0</v>
      </c>
      <c r="H187" s="65">
        <f t="shared" si="26"/>
        <v>-2062</v>
      </c>
      <c r="I187" s="130" t="s">
        <v>526</v>
      </c>
      <c r="J187" s="132" t="s">
        <v>304</v>
      </c>
      <c r="K187" s="160" t="s">
        <v>295</v>
      </c>
      <c r="L187" s="166" t="s">
        <v>326</v>
      </c>
      <c r="M187" s="178" t="s">
        <v>585</v>
      </c>
      <c r="N187"/>
      <c r="O187"/>
      <c r="P187"/>
      <c r="S187"/>
    </row>
    <row r="188" spans="1:19" s="39" customFormat="1" ht="30" customHeight="1">
      <c r="A188" s="149" t="s">
        <v>242</v>
      </c>
      <c r="B188" s="210" t="s">
        <v>521</v>
      </c>
      <c r="C188" s="139" t="s">
        <v>522</v>
      </c>
      <c r="D188" s="62">
        <v>2</v>
      </c>
      <c r="E188" s="148" t="s">
        <v>43</v>
      </c>
      <c r="F188" s="132">
        <v>2486</v>
      </c>
      <c r="G188" s="132"/>
      <c r="H188" s="65">
        <f t="shared" si="26"/>
        <v>-2486</v>
      </c>
      <c r="I188" s="130" t="s">
        <v>526</v>
      </c>
      <c r="J188" s="132" t="s">
        <v>304</v>
      </c>
      <c r="K188" s="160" t="s">
        <v>295</v>
      </c>
      <c r="L188" s="166" t="s">
        <v>326</v>
      </c>
      <c r="M188" s="178" t="s">
        <v>585</v>
      </c>
      <c r="N188"/>
      <c r="O188"/>
      <c r="P188"/>
      <c r="S188"/>
    </row>
    <row r="189" spans="1:19" s="39" customFormat="1" ht="30" customHeight="1">
      <c r="A189" s="221" t="s">
        <v>149</v>
      </c>
      <c r="B189" s="210" t="s">
        <v>528</v>
      </c>
      <c r="C189" s="222" t="s">
        <v>604</v>
      </c>
      <c r="D189" s="62">
        <v>1</v>
      </c>
      <c r="E189" s="223" t="s">
        <v>20</v>
      </c>
      <c r="F189" s="132">
        <v>3205</v>
      </c>
      <c r="G189" s="132"/>
      <c r="H189" s="65">
        <f t="shared" si="26"/>
        <v>-3205</v>
      </c>
      <c r="I189" s="130" t="s">
        <v>526</v>
      </c>
      <c r="J189" s="132" t="s">
        <v>304</v>
      </c>
      <c r="K189" s="160" t="s">
        <v>295</v>
      </c>
      <c r="L189" s="166" t="s">
        <v>326</v>
      </c>
      <c r="M189" s="178" t="s">
        <v>585</v>
      </c>
      <c r="N189"/>
      <c r="O189"/>
      <c r="P189"/>
      <c r="S189"/>
    </row>
    <row r="190" spans="1:19" s="39" customFormat="1" ht="30" customHeight="1">
      <c r="A190" s="149" t="s">
        <v>516</v>
      </c>
      <c r="B190" s="210" t="s">
        <v>603</v>
      </c>
      <c r="C190" s="147" t="s">
        <v>389</v>
      </c>
      <c r="D190" s="62">
        <v>2</v>
      </c>
      <c r="E190" s="148" t="s">
        <v>43</v>
      </c>
      <c r="F190" s="132">
        <v>1070</v>
      </c>
      <c r="G190" s="132">
        <v>0</v>
      </c>
      <c r="H190" s="65">
        <f t="shared" si="25"/>
        <v>-1070</v>
      </c>
      <c r="I190" s="130" t="s">
        <v>526</v>
      </c>
      <c r="J190" s="132" t="s">
        <v>304</v>
      </c>
      <c r="K190" s="160" t="s">
        <v>295</v>
      </c>
      <c r="L190" s="166" t="s">
        <v>326</v>
      </c>
      <c r="M190" s="178" t="s">
        <v>585</v>
      </c>
      <c r="N190" s="1"/>
      <c r="O190"/>
      <c r="P190"/>
      <c r="S190"/>
    </row>
    <row r="191" spans="1:19" s="39" customFormat="1" ht="30" customHeight="1">
      <c r="A191" s="25"/>
      <c r="B191" s="26"/>
      <c r="C191" s="90"/>
      <c r="D191" s="82"/>
      <c r="E191" s="82"/>
      <c r="F191" s="83"/>
      <c r="G191" s="83"/>
      <c r="H191" s="83"/>
      <c r="I191" s="83"/>
      <c r="J191" s="101"/>
      <c r="K191" s="101"/>
      <c r="L191" s="101"/>
      <c r="M191" s="118"/>
      <c r="N191"/>
      <c r="O191"/>
      <c r="P191"/>
      <c r="S191"/>
    </row>
    <row r="192" spans="1:19" s="39" customFormat="1" ht="30" customHeight="1">
      <c r="A192" s="41">
        <v>12</v>
      </c>
      <c r="B192" s="41"/>
      <c r="C192" s="41" t="s">
        <v>89</v>
      </c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/>
      <c r="O192"/>
      <c r="P192"/>
      <c r="R192"/>
      <c r="S192"/>
    </row>
    <row r="193" spans="1:19" s="39" customFormat="1" ht="30" customHeight="1">
      <c r="A193" s="149" t="s">
        <v>355</v>
      </c>
      <c r="B193" s="50" t="s">
        <v>90</v>
      </c>
      <c r="C193" s="147" t="s">
        <v>588</v>
      </c>
      <c r="D193" s="62">
        <v>3</v>
      </c>
      <c r="E193" s="62" t="s">
        <v>43</v>
      </c>
      <c r="F193" s="132">
        <v>11034</v>
      </c>
      <c r="G193" s="132">
        <v>11034</v>
      </c>
      <c r="H193" s="132">
        <f t="shared" ref="H193" si="27">G193-F193</f>
        <v>0</v>
      </c>
      <c r="I193" s="55"/>
      <c r="J193" s="132" t="s">
        <v>499</v>
      </c>
      <c r="K193" s="160" t="s">
        <v>298</v>
      </c>
      <c r="L193" s="166" t="s">
        <v>326</v>
      </c>
      <c r="M193" s="166" t="s">
        <v>325</v>
      </c>
      <c r="P193" s="209" t="s">
        <v>495</v>
      </c>
      <c r="R193"/>
      <c r="S193"/>
    </row>
    <row r="194" spans="1:19" s="39" customFormat="1" ht="30" customHeight="1">
      <c r="A194" s="149" t="s">
        <v>185</v>
      </c>
      <c r="B194" s="136" t="s">
        <v>91</v>
      </c>
      <c r="C194" s="147" t="s">
        <v>347</v>
      </c>
      <c r="D194" s="62">
        <v>1</v>
      </c>
      <c r="E194" s="148" t="s">
        <v>43</v>
      </c>
      <c r="F194" s="132">
        <v>1592.74</v>
      </c>
      <c r="G194" s="132">
        <v>1592.74</v>
      </c>
      <c r="H194" s="132">
        <f t="shared" ref="H194" si="28">G194-F194</f>
        <v>0</v>
      </c>
      <c r="I194" s="55"/>
      <c r="J194" s="132" t="s">
        <v>45</v>
      </c>
      <c r="K194" s="160" t="s">
        <v>298</v>
      </c>
      <c r="L194" s="166" t="s">
        <v>326</v>
      </c>
      <c r="M194" s="166" t="s">
        <v>325</v>
      </c>
      <c r="P194" t="s">
        <v>494</v>
      </c>
      <c r="R194"/>
      <c r="S194"/>
    </row>
    <row r="195" spans="1:19" s="39" customFormat="1" ht="30" customHeight="1">
      <c r="A195" s="149" t="s">
        <v>222</v>
      </c>
      <c r="B195" s="50" t="s">
        <v>92</v>
      </c>
      <c r="C195" s="147" t="s">
        <v>231</v>
      </c>
      <c r="D195" s="79">
        <v>15</v>
      </c>
      <c r="E195" s="153" t="s">
        <v>43</v>
      </c>
      <c r="F195" s="131">
        <v>19000</v>
      </c>
      <c r="G195" s="131">
        <v>12670</v>
      </c>
      <c r="H195" s="132">
        <f t="shared" ref="H195:H196" si="29">G195-F195</f>
        <v>-6330</v>
      </c>
      <c r="I195" s="160" t="s">
        <v>464</v>
      </c>
      <c r="J195" s="132" t="s">
        <v>463</v>
      </c>
      <c r="K195" s="165" t="s">
        <v>296</v>
      </c>
      <c r="L195" s="166" t="s">
        <v>326</v>
      </c>
      <c r="M195" s="213" t="s">
        <v>377</v>
      </c>
      <c r="N195"/>
      <c r="O195"/>
      <c r="P195"/>
      <c r="R195"/>
      <c r="S195"/>
    </row>
    <row r="196" spans="1:19" s="39" customFormat="1" ht="30" customHeight="1">
      <c r="A196" s="149" t="s">
        <v>221</v>
      </c>
      <c r="B196" s="136" t="s">
        <v>93</v>
      </c>
      <c r="C196" s="147" t="s">
        <v>390</v>
      </c>
      <c r="D196" s="79">
        <v>3</v>
      </c>
      <c r="E196" s="153" t="s">
        <v>43</v>
      </c>
      <c r="F196" s="131">
        <v>3900</v>
      </c>
      <c r="G196" s="131">
        <v>3900</v>
      </c>
      <c r="H196" s="132">
        <f t="shared" si="29"/>
        <v>0</v>
      </c>
      <c r="I196" s="160" t="s">
        <v>459</v>
      </c>
      <c r="J196" s="132" t="s">
        <v>297</v>
      </c>
      <c r="K196" s="160" t="s">
        <v>298</v>
      </c>
      <c r="L196" s="166" t="s">
        <v>326</v>
      </c>
      <c r="M196" s="166" t="s">
        <v>325</v>
      </c>
      <c r="N196"/>
      <c r="O196"/>
      <c r="P196"/>
      <c r="R196"/>
      <c r="S196"/>
    </row>
    <row r="197" spans="1:19" s="39" customFormat="1" ht="30" customHeight="1">
      <c r="A197" s="149" t="s">
        <v>242</v>
      </c>
      <c r="B197" s="50" t="s">
        <v>121</v>
      </c>
      <c r="C197" s="147" t="s">
        <v>372</v>
      </c>
      <c r="D197" s="79">
        <v>1</v>
      </c>
      <c r="E197" s="153" t="s">
        <v>43</v>
      </c>
      <c r="F197" s="131">
        <v>566.29</v>
      </c>
      <c r="G197" s="131">
        <v>566.29</v>
      </c>
      <c r="H197" s="132">
        <f t="shared" ref="H197:H206" si="30">G197-F197</f>
        <v>0</v>
      </c>
      <c r="I197" s="55"/>
      <c r="J197" s="132" t="s">
        <v>45</v>
      </c>
      <c r="K197" s="160" t="s">
        <v>298</v>
      </c>
      <c r="L197" s="166" t="s">
        <v>326</v>
      </c>
      <c r="M197" s="166" t="s">
        <v>325</v>
      </c>
      <c r="N197"/>
      <c r="O197"/>
      <c r="P197" t="s">
        <v>496</v>
      </c>
      <c r="S197"/>
    </row>
    <row r="198" spans="1:19" s="39" customFormat="1" ht="30" customHeight="1">
      <c r="A198" s="149" t="s">
        <v>241</v>
      </c>
      <c r="B198" s="136" t="s">
        <v>132</v>
      </c>
      <c r="C198" s="147" t="s">
        <v>348</v>
      </c>
      <c r="D198" s="79">
        <v>1</v>
      </c>
      <c r="E198" s="153" t="s">
        <v>43</v>
      </c>
      <c r="F198" s="131">
        <v>2748.9</v>
      </c>
      <c r="G198" s="131">
        <v>2748.9</v>
      </c>
      <c r="H198" s="132">
        <f t="shared" si="30"/>
        <v>0</v>
      </c>
      <c r="I198" s="55"/>
      <c r="J198" s="132" t="s">
        <v>45</v>
      </c>
      <c r="K198" s="160" t="s">
        <v>298</v>
      </c>
      <c r="L198" s="166" t="s">
        <v>326</v>
      </c>
      <c r="M198" s="166" t="s">
        <v>325</v>
      </c>
      <c r="N198"/>
      <c r="O198"/>
      <c r="P198" s="209" t="s">
        <v>493</v>
      </c>
      <c r="S198"/>
    </row>
    <row r="199" spans="1:19" s="39" customFormat="1" ht="30" customHeight="1">
      <c r="A199" s="149" t="s">
        <v>315</v>
      </c>
      <c r="B199" s="50" t="s">
        <v>209</v>
      </c>
      <c r="C199" s="147" t="s">
        <v>374</v>
      </c>
      <c r="D199" s="79">
        <v>1</v>
      </c>
      <c r="E199" s="153" t="s">
        <v>43</v>
      </c>
      <c r="F199" s="131">
        <v>6200</v>
      </c>
      <c r="G199" s="131">
        <v>6200</v>
      </c>
      <c r="H199" s="132">
        <f t="shared" si="30"/>
        <v>0</v>
      </c>
      <c r="I199" s="160" t="s">
        <v>459</v>
      </c>
      <c r="J199" s="132" t="s">
        <v>310</v>
      </c>
      <c r="K199" s="160" t="s">
        <v>298</v>
      </c>
      <c r="L199" s="166" t="s">
        <v>326</v>
      </c>
      <c r="M199" s="166" t="s">
        <v>325</v>
      </c>
      <c r="N199"/>
      <c r="O199"/>
      <c r="P199"/>
      <c r="R199"/>
      <c r="S199"/>
    </row>
    <row r="200" spans="1:19" s="39" customFormat="1" ht="30" customHeight="1">
      <c r="A200" s="149" t="s">
        <v>242</v>
      </c>
      <c r="B200" s="211" t="s">
        <v>210</v>
      </c>
      <c r="C200" s="147" t="s">
        <v>554</v>
      </c>
      <c r="D200" s="79">
        <v>1</v>
      </c>
      <c r="E200" s="153" t="s">
        <v>43</v>
      </c>
      <c r="F200" s="131">
        <v>4197.84</v>
      </c>
      <c r="G200" s="131">
        <v>4197.84</v>
      </c>
      <c r="H200" s="132">
        <f t="shared" si="30"/>
        <v>0</v>
      </c>
      <c r="I200" s="55"/>
      <c r="J200" s="132" t="s">
        <v>310</v>
      </c>
      <c r="K200" s="160" t="s">
        <v>298</v>
      </c>
      <c r="L200" s="166" t="s">
        <v>326</v>
      </c>
      <c r="M200" s="166" t="s">
        <v>325</v>
      </c>
      <c r="N200"/>
      <c r="O200"/>
      <c r="P200"/>
      <c r="R200"/>
      <c r="S200"/>
    </row>
    <row r="201" spans="1:19" s="39" customFormat="1" ht="30" customHeight="1">
      <c r="A201" s="149" t="s">
        <v>222</v>
      </c>
      <c r="B201" s="50" t="s">
        <v>211</v>
      </c>
      <c r="C201" s="147" t="s">
        <v>358</v>
      </c>
      <c r="D201" s="79">
        <v>1</v>
      </c>
      <c r="E201" s="153" t="s">
        <v>43</v>
      </c>
      <c r="F201" s="131">
        <v>1409.06</v>
      </c>
      <c r="G201" s="131">
        <v>1409.06</v>
      </c>
      <c r="H201" s="132">
        <f t="shared" si="30"/>
        <v>0</v>
      </c>
      <c r="I201" s="55"/>
      <c r="J201" s="132" t="s">
        <v>310</v>
      </c>
      <c r="K201" s="160" t="s">
        <v>298</v>
      </c>
      <c r="L201" s="166" t="s">
        <v>326</v>
      </c>
      <c r="M201" s="166" t="s">
        <v>325</v>
      </c>
      <c r="N201"/>
      <c r="O201"/>
      <c r="P201"/>
      <c r="R201"/>
      <c r="S201"/>
    </row>
    <row r="202" spans="1:19" s="39" customFormat="1" ht="30" customHeight="1">
      <c r="A202" s="149" t="s">
        <v>222</v>
      </c>
      <c r="B202" s="136" t="s">
        <v>252</v>
      </c>
      <c r="C202" s="147" t="s">
        <v>363</v>
      </c>
      <c r="D202" s="79">
        <v>1</v>
      </c>
      <c r="E202" s="153" t="s">
        <v>43</v>
      </c>
      <c r="F202" s="131">
        <v>2054</v>
      </c>
      <c r="G202" s="131">
        <v>2054</v>
      </c>
      <c r="H202" s="132">
        <f t="shared" si="30"/>
        <v>0</v>
      </c>
      <c r="I202" s="55"/>
      <c r="J202" s="132" t="s">
        <v>310</v>
      </c>
      <c r="K202" s="160" t="s">
        <v>298</v>
      </c>
      <c r="L202" s="166" t="s">
        <v>326</v>
      </c>
      <c r="M202" s="166" t="s">
        <v>325</v>
      </c>
      <c r="N202"/>
      <c r="O202"/>
      <c r="P202"/>
      <c r="R202"/>
      <c r="S202"/>
    </row>
    <row r="203" spans="1:19" s="39" customFormat="1" ht="30" customHeight="1">
      <c r="A203" s="149" t="s">
        <v>153</v>
      </c>
      <c r="B203" s="211" t="s">
        <v>253</v>
      </c>
      <c r="C203" s="147" t="s">
        <v>580</v>
      </c>
      <c r="D203" s="79">
        <v>1</v>
      </c>
      <c r="E203" s="153" t="s">
        <v>20</v>
      </c>
      <c r="F203" s="131">
        <v>11090.58</v>
      </c>
      <c r="G203" s="131">
        <v>11090.58</v>
      </c>
      <c r="H203" s="132">
        <f t="shared" si="30"/>
        <v>0</v>
      </c>
      <c r="I203" s="55"/>
      <c r="J203" s="132" t="s">
        <v>371</v>
      </c>
      <c r="K203" s="160" t="s">
        <v>296</v>
      </c>
      <c r="L203" s="166" t="s">
        <v>326</v>
      </c>
      <c r="M203" s="166" t="s">
        <v>325</v>
      </c>
      <c r="N203"/>
      <c r="O203"/>
      <c r="P203"/>
      <c r="R203"/>
      <c r="S203"/>
    </row>
    <row r="204" spans="1:19" s="39" customFormat="1" ht="30" customHeight="1">
      <c r="A204" s="149" t="s">
        <v>153</v>
      </c>
      <c r="B204" s="136" t="s">
        <v>265</v>
      </c>
      <c r="C204" s="147" t="s">
        <v>317</v>
      </c>
      <c r="D204" s="79">
        <v>1</v>
      </c>
      <c r="E204" s="153" t="s">
        <v>43</v>
      </c>
      <c r="F204" s="131">
        <v>125.4</v>
      </c>
      <c r="G204" s="131">
        <v>125.4</v>
      </c>
      <c r="H204" s="132">
        <f t="shared" si="30"/>
        <v>0</v>
      </c>
      <c r="I204" s="160" t="s">
        <v>459</v>
      </c>
      <c r="J204" s="132" t="s">
        <v>318</v>
      </c>
      <c r="K204" s="160" t="s">
        <v>298</v>
      </c>
      <c r="L204" s="166" t="s">
        <v>326</v>
      </c>
      <c r="M204" s="166" t="s">
        <v>325</v>
      </c>
      <c r="N204"/>
      <c r="O204"/>
      <c r="P204"/>
      <c r="R204"/>
      <c r="S204"/>
    </row>
    <row r="205" spans="1:19" s="39" customFormat="1" ht="30" customHeight="1">
      <c r="A205" s="149" t="s">
        <v>153</v>
      </c>
      <c r="B205" s="50" t="s">
        <v>316</v>
      </c>
      <c r="C205" s="147" t="s">
        <v>320</v>
      </c>
      <c r="D205" s="79">
        <v>1</v>
      </c>
      <c r="E205" s="79" t="s">
        <v>20</v>
      </c>
      <c r="F205" s="131">
        <v>1451.12</v>
      </c>
      <c r="G205" s="131">
        <v>1451.12</v>
      </c>
      <c r="H205" s="132">
        <f t="shared" si="30"/>
        <v>0</v>
      </c>
      <c r="I205" s="160" t="s">
        <v>459</v>
      </c>
      <c r="J205" s="132" t="s">
        <v>321</v>
      </c>
      <c r="K205" s="160" t="s">
        <v>298</v>
      </c>
      <c r="L205" s="166" t="s">
        <v>326</v>
      </c>
      <c r="M205" s="166" t="s">
        <v>325</v>
      </c>
      <c r="N205"/>
      <c r="O205"/>
      <c r="P205"/>
      <c r="R205"/>
      <c r="S205"/>
    </row>
    <row r="206" spans="1:19" s="39" customFormat="1" ht="30" customHeight="1">
      <c r="A206" s="149" t="s">
        <v>153</v>
      </c>
      <c r="B206" s="136" t="s">
        <v>319</v>
      </c>
      <c r="C206" s="147" t="s">
        <v>249</v>
      </c>
      <c r="D206" s="79">
        <v>1</v>
      </c>
      <c r="E206" s="79" t="s">
        <v>20</v>
      </c>
      <c r="F206" s="131">
        <v>4550</v>
      </c>
      <c r="G206" s="131">
        <v>4550</v>
      </c>
      <c r="H206" s="132">
        <f t="shared" si="30"/>
        <v>0</v>
      </c>
      <c r="I206" s="55"/>
      <c r="J206" s="231" t="s">
        <v>613</v>
      </c>
      <c r="K206" s="165" t="s">
        <v>296</v>
      </c>
      <c r="L206" s="166" t="s">
        <v>326</v>
      </c>
      <c r="M206" s="166" t="s">
        <v>325</v>
      </c>
      <c r="N206"/>
      <c r="O206"/>
      <c r="P206"/>
      <c r="R206"/>
      <c r="S206"/>
    </row>
    <row r="207" spans="1:19" s="39" customFormat="1" ht="30" customHeight="1">
      <c r="A207" s="25"/>
      <c r="B207" s="26"/>
      <c r="C207" s="81"/>
      <c r="D207" s="82"/>
      <c r="E207" s="82"/>
      <c r="F207" s="83"/>
      <c r="G207" s="83"/>
      <c r="H207" s="84"/>
      <c r="I207" s="84"/>
      <c r="J207" s="100"/>
      <c r="K207" s="100"/>
      <c r="L207" s="100"/>
      <c r="M207" s="118"/>
      <c r="N207"/>
      <c r="O207"/>
      <c r="P207"/>
      <c r="R207"/>
      <c r="S207"/>
    </row>
    <row r="208" spans="1:19" s="39" customFormat="1" ht="30" customHeight="1">
      <c r="A208" s="41">
        <v>13</v>
      </c>
      <c r="B208" s="41"/>
      <c r="C208" s="41" t="s">
        <v>138</v>
      </c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/>
      <c r="O208"/>
      <c r="P208"/>
      <c r="R208"/>
      <c r="S208"/>
    </row>
    <row r="209" spans="1:19" s="39" customFormat="1" ht="30" customHeight="1">
      <c r="A209" s="149" t="s">
        <v>149</v>
      </c>
      <c r="B209" s="50" t="s">
        <v>95</v>
      </c>
      <c r="C209" s="147" t="s">
        <v>148</v>
      </c>
      <c r="D209" s="62">
        <v>2</v>
      </c>
      <c r="E209" s="148" t="s">
        <v>43</v>
      </c>
      <c r="F209" s="150">
        <v>5698</v>
      </c>
      <c r="G209" s="150">
        <v>5698</v>
      </c>
      <c r="H209" s="65">
        <f t="shared" ref="H209" si="31">G209-F209</f>
        <v>0</v>
      </c>
      <c r="I209" s="54"/>
      <c r="J209" s="162" t="s">
        <v>309</v>
      </c>
      <c r="K209" s="161" t="s">
        <v>296</v>
      </c>
      <c r="L209" s="166" t="s">
        <v>326</v>
      </c>
      <c r="M209" s="166" t="s">
        <v>325</v>
      </c>
      <c r="N209"/>
      <c r="O209"/>
      <c r="P209"/>
      <c r="R209"/>
      <c r="S209"/>
    </row>
    <row r="210" spans="1:19" s="39" customFormat="1" ht="30" customHeight="1">
      <c r="A210" s="149" t="s">
        <v>388</v>
      </c>
      <c r="B210" s="136" t="s">
        <v>139</v>
      </c>
      <c r="C210" s="147" t="s">
        <v>519</v>
      </c>
      <c r="D210" s="62">
        <v>2</v>
      </c>
      <c r="E210" s="148" t="s">
        <v>43</v>
      </c>
      <c r="F210" s="68">
        <v>1579.8</v>
      </c>
      <c r="G210" s="68">
        <v>1579.8</v>
      </c>
      <c r="H210" s="66">
        <f t="shared" ref="H210:H211" si="32">G210-F210</f>
        <v>0</v>
      </c>
      <c r="I210" s="54"/>
      <c r="J210" s="162" t="s">
        <v>309</v>
      </c>
      <c r="K210" s="161" t="s">
        <v>296</v>
      </c>
      <c r="L210" s="166" t="s">
        <v>326</v>
      </c>
      <c r="M210" s="166" t="s">
        <v>325</v>
      </c>
      <c r="N210"/>
      <c r="O210"/>
      <c r="P210"/>
      <c r="R210"/>
      <c r="S210"/>
    </row>
    <row r="211" spans="1:19" s="39" customFormat="1" ht="30" customHeight="1">
      <c r="A211" s="154" t="s">
        <v>184</v>
      </c>
      <c r="B211" s="211" t="s">
        <v>140</v>
      </c>
      <c r="C211" s="147" t="s">
        <v>373</v>
      </c>
      <c r="D211" s="62">
        <v>2</v>
      </c>
      <c r="E211" s="148" t="s">
        <v>43</v>
      </c>
      <c r="F211" s="68">
        <v>4788</v>
      </c>
      <c r="G211" s="68">
        <v>4788</v>
      </c>
      <c r="H211" s="66">
        <f t="shared" si="32"/>
        <v>0</v>
      </c>
      <c r="I211" s="54"/>
      <c r="J211" s="162" t="s">
        <v>499</v>
      </c>
      <c r="K211" s="161" t="s">
        <v>298</v>
      </c>
      <c r="L211" s="166" t="s">
        <v>326</v>
      </c>
      <c r="M211" s="166" t="s">
        <v>325</v>
      </c>
      <c r="N211"/>
      <c r="O211"/>
      <c r="P211"/>
      <c r="R211"/>
      <c r="S211"/>
    </row>
    <row r="212" spans="1:19" s="39" customFormat="1" ht="30" customHeight="1">
      <c r="A212" s="149" t="s">
        <v>242</v>
      </c>
      <c r="B212" s="136" t="s">
        <v>141</v>
      </c>
      <c r="C212" s="147" t="s">
        <v>410</v>
      </c>
      <c r="D212" s="62">
        <v>5</v>
      </c>
      <c r="E212" s="148" t="s">
        <v>43</v>
      </c>
      <c r="F212" s="167">
        <v>1949.4</v>
      </c>
      <c r="G212" s="167">
        <v>1949.4</v>
      </c>
      <c r="H212" s="66">
        <f t="shared" ref="H212:H219" si="33">G212-F212</f>
        <v>0</v>
      </c>
      <c r="I212" s="54"/>
      <c r="J212" s="162" t="s">
        <v>45</v>
      </c>
      <c r="K212" s="161" t="s">
        <v>298</v>
      </c>
      <c r="L212" s="166" t="s">
        <v>326</v>
      </c>
      <c r="M212" s="166" t="s">
        <v>325</v>
      </c>
      <c r="N212"/>
      <c r="O212"/>
      <c r="P212"/>
      <c r="R212"/>
      <c r="S212"/>
    </row>
    <row r="213" spans="1:19" s="39" customFormat="1" ht="30" customHeight="1">
      <c r="A213" s="149" t="s">
        <v>242</v>
      </c>
      <c r="B213" s="50" t="s">
        <v>142</v>
      </c>
      <c r="C213" s="147" t="s">
        <v>480</v>
      </c>
      <c r="D213" s="62">
        <v>1</v>
      </c>
      <c r="E213" s="148" t="s">
        <v>20</v>
      </c>
      <c r="F213" s="167">
        <v>299</v>
      </c>
      <c r="G213" s="167">
        <v>299</v>
      </c>
      <c r="H213" s="66">
        <f t="shared" si="33"/>
        <v>0</v>
      </c>
      <c r="I213" s="54"/>
      <c r="J213" s="162" t="s">
        <v>45</v>
      </c>
      <c r="K213" s="161" t="s">
        <v>298</v>
      </c>
      <c r="L213" s="166" t="s">
        <v>326</v>
      </c>
      <c r="M213" s="166" t="s">
        <v>325</v>
      </c>
      <c r="N213"/>
      <c r="O213"/>
      <c r="P213"/>
      <c r="R213"/>
      <c r="S213"/>
    </row>
    <row r="214" spans="1:19" s="39" customFormat="1" ht="30" customHeight="1">
      <c r="A214" s="149" t="s">
        <v>149</v>
      </c>
      <c r="B214" s="136" t="s">
        <v>143</v>
      </c>
      <c r="C214" s="147" t="s">
        <v>311</v>
      </c>
      <c r="D214" s="62">
        <v>1</v>
      </c>
      <c r="E214" s="148" t="s">
        <v>43</v>
      </c>
      <c r="F214" s="168">
        <v>1057.73</v>
      </c>
      <c r="G214" s="168">
        <v>1057.73</v>
      </c>
      <c r="H214" s="66">
        <f t="shared" si="33"/>
        <v>0</v>
      </c>
      <c r="I214" s="54"/>
      <c r="J214" s="162" t="s">
        <v>45</v>
      </c>
      <c r="K214" s="161" t="s">
        <v>298</v>
      </c>
      <c r="L214" s="166" t="s">
        <v>326</v>
      </c>
      <c r="M214" s="166" t="s">
        <v>325</v>
      </c>
      <c r="N214"/>
      <c r="O214"/>
      <c r="P214"/>
      <c r="R214" t="s">
        <v>479</v>
      </c>
      <c r="S214"/>
    </row>
    <row r="215" spans="1:19" s="39" customFormat="1" ht="30" customHeight="1">
      <c r="A215" s="149" t="s">
        <v>254</v>
      </c>
      <c r="B215" s="50" t="s">
        <v>144</v>
      </c>
      <c r="C215" s="147" t="s">
        <v>312</v>
      </c>
      <c r="D215" s="62">
        <v>1</v>
      </c>
      <c r="E215" s="148" t="s">
        <v>43</v>
      </c>
      <c r="F215" s="168">
        <v>250.62</v>
      </c>
      <c r="G215" s="68">
        <v>250.62</v>
      </c>
      <c r="H215" s="65">
        <f t="shared" si="33"/>
        <v>0</v>
      </c>
      <c r="I215" s="54"/>
      <c r="J215" s="162" t="s">
        <v>499</v>
      </c>
      <c r="K215" s="161" t="s">
        <v>298</v>
      </c>
      <c r="L215" s="166" t="s">
        <v>326</v>
      </c>
      <c r="M215" s="166" t="s">
        <v>325</v>
      </c>
      <c r="N215"/>
      <c r="O215"/>
      <c r="P215"/>
      <c r="R215" t="s">
        <v>478</v>
      </c>
      <c r="S215"/>
    </row>
    <row r="216" spans="1:19" s="39" customFormat="1" ht="30" customHeight="1">
      <c r="A216" s="149" t="s">
        <v>388</v>
      </c>
      <c r="B216" s="136" t="s">
        <v>145</v>
      </c>
      <c r="C216" s="147" t="s">
        <v>398</v>
      </c>
      <c r="D216" s="62">
        <v>2</v>
      </c>
      <c r="E216" s="148" t="s">
        <v>43</v>
      </c>
      <c r="F216" s="168">
        <v>696.66</v>
      </c>
      <c r="G216" s="168">
        <v>696.66</v>
      </c>
      <c r="H216" s="65">
        <f t="shared" si="33"/>
        <v>0</v>
      </c>
      <c r="I216" s="54"/>
      <c r="J216" s="162" t="s">
        <v>499</v>
      </c>
      <c r="K216" s="161" t="s">
        <v>298</v>
      </c>
      <c r="L216" s="166" t="s">
        <v>326</v>
      </c>
      <c r="M216" s="166" t="s">
        <v>325</v>
      </c>
      <c r="N216"/>
      <c r="O216"/>
      <c r="P216"/>
      <c r="R216"/>
      <c r="S216"/>
    </row>
    <row r="217" spans="1:19" s="39" customFormat="1" ht="30" customHeight="1">
      <c r="A217" s="149" t="s">
        <v>185</v>
      </c>
      <c r="B217" s="50" t="s">
        <v>146</v>
      </c>
      <c r="C217" s="147" t="s">
        <v>196</v>
      </c>
      <c r="D217" s="62">
        <v>1</v>
      </c>
      <c r="E217" s="148" t="s">
        <v>43</v>
      </c>
      <c r="F217" s="167">
        <v>4449</v>
      </c>
      <c r="G217" s="167">
        <v>4449</v>
      </c>
      <c r="H217" s="65">
        <f t="shared" si="33"/>
        <v>0</v>
      </c>
      <c r="I217" s="54"/>
      <c r="J217" s="162" t="s">
        <v>309</v>
      </c>
      <c r="K217" s="161" t="s">
        <v>298</v>
      </c>
      <c r="L217" s="166" t="s">
        <v>326</v>
      </c>
      <c r="M217" s="166" t="s">
        <v>325</v>
      </c>
      <c r="N217"/>
      <c r="O217"/>
      <c r="P217"/>
      <c r="R217"/>
      <c r="S217"/>
    </row>
    <row r="218" spans="1:19" s="39" customFormat="1" ht="30" customHeight="1">
      <c r="A218" s="149" t="s">
        <v>185</v>
      </c>
      <c r="B218" s="136" t="s">
        <v>147</v>
      </c>
      <c r="C218" s="147" t="s">
        <v>328</v>
      </c>
      <c r="D218" s="62">
        <v>1</v>
      </c>
      <c r="E218" s="148" t="s">
        <v>43</v>
      </c>
      <c r="F218" s="168">
        <v>2800</v>
      </c>
      <c r="G218" s="68">
        <v>2800</v>
      </c>
      <c r="H218" s="65">
        <f t="shared" si="33"/>
        <v>0</v>
      </c>
      <c r="I218" s="160" t="s">
        <v>459</v>
      </c>
      <c r="J218" s="162" t="s">
        <v>307</v>
      </c>
      <c r="K218" s="161" t="s">
        <v>296</v>
      </c>
      <c r="L218" s="166" t="s">
        <v>326</v>
      </c>
      <c r="M218" s="166" t="s">
        <v>325</v>
      </c>
      <c r="N218"/>
      <c r="O218"/>
      <c r="P218"/>
      <c r="R218"/>
      <c r="S218"/>
    </row>
    <row r="219" spans="1:19" s="39" customFormat="1" ht="30" customHeight="1">
      <c r="A219" s="149" t="s">
        <v>185</v>
      </c>
      <c r="B219" s="50" t="s">
        <v>198</v>
      </c>
      <c r="C219" s="147" t="s">
        <v>197</v>
      </c>
      <c r="D219" s="62">
        <v>1</v>
      </c>
      <c r="E219" s="148" t="s">
        <v>43</v>
      </c>
      <c r="F219" s="168">
        <v>2500</v>
      </c>
      <c r="G219" s="68">
        <v>2500</v>
      </c>
      <c r="H219" s="65">
        <f t="shared" si="33"/>
        <v>0</v>
      </c>
      <c r="I219" s="54"/>
      <c r="J219" s="162" t="s">
        <v>308</v>
      </c>
      <c r="K219" s="161" t="s">
        <v>298</v>
      </c>
      <c r="L219" s="166" t="s">
        <v>326</v>
      </c>
      <c r="M219" s="166" t="s">
        <v>325</v>
      </c>
      <c r="N219"/>
      <c r="O219"/>
      <c r="P219"/>
      <c r="R219"/>
      <c r="S219"/>
    </row>
    <row r="220" spans="1:19" s="39" customFormat="1" ht="30" customHeight="1">
      <c r="A220" s="149" t="s">
        <v>206</v>
      </c>
      <c r="B220" s="211" t="s">
        <v>199</v>
      </c>
      <c r="C220" s="147" t="s">
        <v>540</v>
      </c>
      <c r="D220" s="62">
        <v>8</v>
      </c>
      <c r="E220" s="148" t="s">
        <v>43</v>
      </c>
      <c r="F220" s="167">
        <v>10473.1</v>
      </c>
      <c r="G220" s="68">
        <v>5236.55</v>
      </c>
      <c r="H220" s="66">
        <f t="shared" ref="H220" si="34">G220-F220</f>
        <v>-5236.55</v>
      </c>
      <c r="I220" s="160" t="s">
        <v>581</v>
      </c>
      <c r="J220" s="162" t="s">
        <v>307</v>
      </c>
      <c r="K220" s="161" t="s">
        <v>296</v>
      </c>
      <c r="L220" s="166" t="s">
        <v>326</v>
      </c>
      <c r="M220" s="213" t="s">
        <v>377</v>
      </c>
      <c r="N220"/>
      <c r="O220"/>
      <c r="P220"/>
      <c r="R220"/>
      <c r="S220"/>
    </row>
    <row r="221" spans="1:19" s="39" customFormat="1" ht="30" customHeight="1">
      <c r="A221" s="149" t="s">
        <v>222</v>
      </c>
      <c r="B221" s="211" t="s">
        <v>200</v>
      </c>
      <c r="C221" s="147" t="s">
        <v>327</v>
      </c>
      <c r="D221" s="62">
        <v>4</v>
      </c>
      <c r="E221" s="148" t="s">
        <v>43</v>
      </c>
      <c r="F221" s="167">
        <v>7156</v>
      </c>
      <c r="G221" s="167">
        <v>7156</v>
      </c>
      <c r="H221" s="66">
        <f t="shared" ref="H221:H225" si="35">G221-F221</f>
        <v>0</v>
      </c>
      <c r="I221" s="54"/>
      <c r="J221" s="162" t="s">
        <v>514</v>
      </c>
      <c r="K221" s="161" t="s">
        <v>298</v>
      </c>
      <c r="L221" s="166" t="s">
        <v>326</v>
      </c>
      <c r="M221" s="166" t="s">
        <v>325</v>
      </c>
      <c r="N221"/>
      <c r="O221"/>
      <c r="P221"/>
      <c r="R221"/>
      <c r="S221"/>
    </row>
    <row r="222" spans="1:19" s="39" customFormat="1" ht="30" customHeight="1">
      <c r="A222" s="149" t="s">
        <v>242</v>
      </c>
      <c r="B222" s="136" t="s">
        <v>217</v>
      </c>
      <c r="C222" s="147" t="s">
        <v>513</v>
      </c>
      <c r="D222" s="62">
        <v>12</v>
      </c>
      <c r="E222" s="148" t="s">
        <v>43</v>
      </c>
      <c r="F222" s="167">
        <v>6238.8</v>
      </c>
      <c r="G222" s="167">
        <v>6238.8</v>
      </c>
      <c r="H222" s="65">
        <f t="shared" si="35"/>
        <v>0</v>
      </c>
      <c r="I222" s="54"/>
      <c r="J222" s="162" t="s">
        <v>309</v>
      </c>
      <c r="K222" s="161" t="s">
        <v>298</v>
      </c>
      <c r="L222" s="166" t="s">
        <v>326</v>
      </c>
      <c r="M222" s="166" t="s">
        <v>325</v>
      </c>
      <c r="N222"/>
      <c r="O222"/>
      <c r="P222"/>
      <c r="R222"/>
      <c r="S222"/>
    </row>
    <row r="223" spans="1:19" s="39" customFormat="1" ht="30" customHeight="1">
      <c r="A223" s="149" t="s">
        <v>516</v>
      </c>
      <c r="B223" s="211" t="s">
        <v>223</v>
      </c>
      <c r="C223" s="147" t="s">
        <v>517</v>
      </c>
      <c r="D223" s="62">
        <v>2</v>
      </c>
      <c r="E223" s="148" t="s">
        <v>43</v>
      </c>
      <c r="F223" s="167">
        <v>300</v>
      </c>
      <c r="G223" s="232">
        <v>300</v>
      </c>
      <c r="H223" s="65">
        <f t="shared" si="35"/>
        <v>0</v>
      </c>
      <c r="I223" s="54"/>
      <c r="J223" s="162" t="s">
        <v>518</v>
      </c>
      <c r="K223" s="161" t="s">
        <v>298</v>
      </c>
      <c r="L223" s="166" t="s">
        <v>326</v>
      </c>
      <c r="M223" s="166" t="s">
        <v>325</v>
      </c>
      <c r="N223"/>
      <c r="O223"/>
      <c r="P223"/>
      <c r="R223"/>
      <c r="S223"/>
    </row>
    <row r="224" spans="1:19" s="39" customFormat="1" ht="30" customHeight="1">
      <c r="A224" s="149" t="s">
        <v>229</v>
      </c>
      <c r="B224" s="136" t="s">
        <v>224</v>
      </c>
      <c r="C224" s="147" t="s">
        <v>409</v>
      </c>
      <c r="D224" s="62">
        <v>4</v>
      </c>
      <c r="E224" s="148" t="s">
        <v>43</v>
      </c>
      <c r="F224" s="168">
        <v>28761.94</v>
      </c>
      <c r="G224" s="168">
        <v>28761.94</v>
      </c>
      <c r="H224" s="65">
        <f t="shared" si="35"/>
        <v>0</v>
      </c>
      <c r="I224" s="160" t="s">
        <v>459</v>
      </c>
      <c r="J224" s="162" t="s">
        <v>307</v>
      </c>
      <c r="K224" s="161" t="s">
        <v>296</v>
      </c>
      <c r="L224" s="166" t="s">
        <v>326</v>
      </c>
      <c r="M224" s="166" t="s">
        <v>325</v>
      </c>
      <c r="N224"/>
      <c r="O224"/>
      <c r="P224"/>
      <c r="R224"/>
      <c r="S224"/>
    </row>
    <row r="225" spans="1:19" s="39" customFormat="1" ht="30" customHeight="1">
      <c r="A225" s="149" t="s">
        <v>229</v>
      </c>
      <c r="B225" s="50" t="s">
        <v>225</v>
      </c>
      <c r="C225" s="147" t="s">
        <v>230</v>
      </c>
      <c r="D225" s="62">
        <v>1</v>
      </c>
      <c r="E225" s="148" t="s">
        <v>43</v>
      </c>
      <c r="F225" s="168">
        <v>194.9</v>
      </c>
      <c r="G225" s="68">
        <v>194.9</v>
      </c>
      <c r="H225" s="65">
        <f t="shared" si="35"/>
        <v>0</v>
      </c>
      <c r="I225" s="54"/>
      <c r="J225" s="162" t="s">
        <v>499</v>
      </c>
      <c r="K225" s="161" t="s">
        <v>298</v>
      </c>
      <c r="L225" s="166" t="s">
        <v>326</v>
      </c>
      <c r="M225" s="166" t="s">
        <v>325</v>
      </c>
      <c r="N225"/>
      <c r="O225"/>
      <c r="P225"/>
      <c r="R225"/>
      <c r="S225"/>
    </row>
    <row r="226" spans="1:19" s="39" customFormat="1" ht="30" customHeight="1">
      <c r="A226" s="149" t="s">
        <v>229</v>
      </c>
      <c r="B226" s="211" t="s">
        <v>226</v>
      </c>
      <c r="C226" s="147" t="s">
        <v>238</v>
      </c>
      <c r="D226" s="62">
        <v>28</v>
      </c>
      <c r="E226" s="148" t="s">
        <v>43</v>
      </c>
      <c r="F226" s="66">
        <v>42537.599999999999</v>
      </c>
      <c r="G226" s="66">
        <v>28958.400000000001</v>
      </c>
      <c r="H226" s="66">
        <f t="shared" ref="H226" si="36">G226-F226</f>
        <v>-13579.199999999997</v>
      </c>
      <c r="I226" s="160" t="s">
        <v>464</v>
      </c>
      <c r="J226" s="162" t="s">
        <v>460</v>
      </c>
      <c r="K226" s="161" t="s">
        <v>296</v>
      </c>
      <c r="L226" s="166" t="s">
        <v>326</v>
      </c>
      <c r="M226" s="213" t="s">
        <v>377</v>
      </c>
      <c r="N226"/>
      <c r="O226"/>
      <c r="P226"/>
      <c r="R226"/>
      <c r="S226"/>
    </row>
    <row r="227" spans="1:19" s="39" customFormat="1" ht="30" customHeight="1">
      <c r="A227" s="143"/>
      <c r="C227" s="144"/>
      <c r="F227" s="145"/>
      <c r="G227" s="145"/>
      <c r="H227" s="145"/>
      <c r="I227" s="145"/>
      <c r="J227" s="145"/>
      <c r="K227" s="145"/>
      <c r="L227" s="145"/>
      <c r="M227" s="146"/>
      <c r="N227"/>
      <c r="O227"/>
      <c r="P227"/>
      <c r="R227"/>
      <c r="S227"/>
    </row>
    <row r="228" spans="1:19" s="39" customFormat="1" ht="30" customHeight="1">
      <c r="A228" s="41">
        <v>14</v>
      </c>
      <c r="B228" s="41"/>
      <c r="C228" s="41" t="s">
        <v>94</v>
      </c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/>
      <c r="O228"/>
      <c r="P228"/>
      <c r="R228"/>
      <c r="S228"/>
    </row>
    <row r="229" spans="1:19" s="39" customFormat="1" ht="30" customHeight="1">
      <c r="A229" s="149" t="s">
        <v>153</v>
      </c>
      <c r="B229" s="211" t="s">
        <v>137</v>
      </c>
      <c r="C229" s="147" t="s">
        <v>266</v>
      </c>
      <c r="D229" s="62">
        <v>1</v>
      </c>
      <c r="E229" s="62" t="s">
        <v>20</v>
      </c>
      <c r="F229" s="233">
        <v>22224.48</v>
      </c>
      <c r="G229" s="233">
        <v>22224.48</v>
      </c>
      <c r="H229" s="66">
        <f t="shared" ref="H229:H231" si="37">G229-F229</f>
        <v>0</v>
      </c>
      <c r="I229" s="54"/>
      <c r="J229" s="162" t="s">
        <v>96</v>
      </c>
      <c r="K229" s="161" t="s">
        <v>306</v>
      </c>
      <c r="L229" s="166" t="s">
        <v>326</v>
      </c>
      <c r="M229" s="166" t="s">
        <v>325</v>
      </c>
      <c r="N229" s="102"/>
      <c r="O229"/>
      <c r="P229"/>
      <c r="R229"/>
      <c r="S229"/>
    </row>
    <row r="230" spans="1:19" s="39" customFormat="1" ht="30" customHeight="1">
      <c r="A230" s="149" t="s">
        <v>153</v>
      </c>
      <c r="B230" s="211" t="s">
        <v>352</v>
      </c>
      <c r="C230" s="147" t="s">
        <v>583</v>
      </c>
      <c r="D230" s="62">
        <v>3</v>
      </c>
      <c r="E230" s="148" t="s">
        <v>43</v>
      </c>
      <c r="F230" s="68">
        <v>1380</v>
      </c>
      <c r="G230" s="68">
        <v>1380</v>
      </c>
      <c r="H230" s="66">
        <f t="shared" si="37"/>
        <v>0</v>
      </c>
      <c r="I230" s="54"/>
      <c r="J230" s="162" t="s">
        <v>584</v>
      </c>
      <c r="K230" s="161" t="s">
        <v>306</v>
      </c>
      <c r="L230" s="166" t="s">
        <v>326</v>
      </c>
      <c r="M230" s="166" t="s">
        <v>325</v>
      </c>
      <c r="N230" s="102"/>
      <c r="O230"/>
      <c r="P230"/>
      <c r="R230"/>
      <c r="S230"/>
    </row>
    <row r="231" spans="1:19" s="39" customFormat="1" ht="30" customHeight="1">
      <c r="A231" s="149" t="s">
        <v>153</v>
      </c>
      <c r="B231" s="211" t="s">
        <v>582</v>
      </c>
      <c r="C231" s="147" t="s">
        <v>353</v>
      </c>
      <c r="D231" s="62">
        <v>1</v>
      </c>
      <c r="E231" s="62" t="s">
        <v>20</v>
      </c>
      <c r="F231" s="68">
        <v>3500</v>
      </c>
      <c r="G231" s="68">
        <v>3500</v>
      </c>
      <c r="H231" s="66">
        <f t="shared" si="37"/>
        <v>0</v>
      </c>
      <c r="I231" s="54"/>
      <c r="J231" s="162" t="s">
        <v>532</v>
      </c>
      <c r="K231" s="161" t="s">
        <v>306</v>
      </c>
      <c r="L231" s="166" t="s">
        <v>326</v>
      </c>
      <c r="M231" s="166" t="s">
        <v>325</v>
      </c>
      <c r="N231" s="102"/>
      <c r="O231"/>
      <c r="P231"/>
      <c r="R231"/>
      <c r="S231"/>
    </row>
    <row r="232" spans="1:19" s="39" customFormat="1" ht="30" customHeight="1">
      <c r="A232" s="25"/>
      <c r="B232" s="26"/>
      <c r="C232" s="81"/>
      <c r="D232" s="82"/>
      <c r="E232" s="82"/>
      <c r="F232" s="83"/>
      <c r="G232" s="83"/>
      <c r="H232" s="84"/>
      <c r="I232" s="84"/>
      <c r="J232" s="100"/>
      <c r="K232" s="103"/>
      <c r="L232" s="103"/>
      <c r="M232" s="119"/>
      <c r="N232"/>
      <c r="O232"/>
      <c r="P232"/>
      <c r="R232"/>
      <c r="S232"/>
    </row>
    <row r="233" spans="1:19" s="39" customFormat="1" ht="30" customHeight="1">
      <c r="A233" s="283"/>
      <c r="B233" s="284"/>
      <c r="C233" s="284"/>
      <c r="D233" s="284"/>
      <c r="E233" s="285"/>
      <c r="F233" s="182" t="s">
        <v>136</v>
      </c>
      <c r="G233" s="158" t="s">
        <v>280</v>
      </c>
      <c r="H233" s="180" t="s">
        <v>399</v>
      </c>
      <c r="I233" s="91"/>
      <c r="J233" s="91"/>
      <c r="K233" s="91"/>
      <c r="L233" s="91"/>
      <c r="M233" s="104"/>
    </row>
    <row r="234" spans="1:19" s="39" customFormat="1" ht="30" customHeight="1">
      <c r="A234" s="273" t="s">
        <v>97</v>
      </c>
      <c r="B234" s="274"/>
      <c r="C234" s="274"/>
      <c r="D234" s="274"/>
      <c r="E234" s="275"/>
      <c r="F234" s="92">
        <f>SUM(F14:F232)</f>
        <v>718148.87000000023</v>
      </c>
      <c r="G234" s="92">
        <f>SUM(G14:G232)</f>
        <v>637755.9700000002</v>
      </c>
      <c r="H234" s="105">
        <f>SUM(G234-F234)</f>
        <v>-80392.900000000023</v>
      </c>
      <c r="I234" s="92"/>
      <c r="J234" s="92"/>
      <c r="K234" s="92"/>
      <c r="L234" s="92"/>
      <c r="M234" s="105"/>
    </row>
    <row r="235" spans="1:19" s="39" customFormat="1" ht="30" customHeight="1">
      <c r="A235" s="273" t="s">
        <v>98</v>
      </c>
      <c r="B235" s="274"/>
      <c r="C235" s="274"/>
      <c r="D235" s="274"/>
      <c r="E235" s="275"/>
      <c r="F235" s="92">
        <f>SUM(F234*18%)</f>
        <v>129266.79660000003</v>
      </c>
      <c r="G235" s="92">
        <v>54000</v>
      </c>
      <c r="H235" s="105">
        <f>SUM(G235-F235)</f>
        <v>-75266.796600000031</v>
      </c>
      <c r="I235" s="92"/>
      <c r="J235" s="91"/>
      <c r="K235" s="91"/>
      <c r="L235" s="184" t="s">
        <v>326</v>
      </c>
      <c r="M235" s="227" t="s">
        <v>377</v>
      </c>
    </row>
    <row r="236" spans="1:19" s="39" customFormat="1" ht="30" customHeight="1">
      <c r="A236" s="273" t="s">
        <v>99</v>
      </c>
      <c r="B236" s="274"/>
      <c r="C236" s="274"/>
      <c r="D236" s="274"/>
      <c r="E236" s="275"/>
      <c r="F236" s="92">
        <f>F235*0.08</f>
        <v>10341.343728000003</v>
      </c>
      <c r="G236" s="92">
        <v>0</v>
      </c>
      <c r="H236" s="105">
        <f>SUM(G236-F236)</f>
        <v>-10341.343728000003</v>
      </c>
      <c r="I236" s="92"/>
      <c r="J236" s="91"/>
      <c r="K236" s="91"/>
      <c r="L236" s="184" t="s">
        <v>326</v>
      </c>
      <c r="M236" s="228" t="s">
        <v>585</v>
      </c>
    </row>
    <row r="237" spans="1:19" s="39" customFormat="1" ht="30" customHeight="1">
      <c r="A237" s="273" t="s">
        <v>100</v>
      </c>
      <c r="B237" s="274"/>
      <c r="C237" s="274"/>
      <c r="D237" s="274"/>
      <c r="E237" s="275"/>
      <c r="F237" s="181">
        <f>SUM(F234:F236)</f>
        <v>857757.01032800018</v>
      </c>
      <c r="G237" s="181">
        <f>SUM(G234:G236)</f>
        <v>691755.9700000002</v>
      </c>
      <c r="H237" s="93">
        <f>SUM(G237-F237)</f>
        <v>-166001.04032799997</v>
      </c>
      <c r="I237" s="92"/>
      <c r="J237" s="92"/>
      <c r="K237" s="92"/>
      <c r="L237" s="92"/>
      <c r="M237" s="105"/>
    </row>
    <row r="241" spans="2:16" ht="17.25">
      <c r="C241" s="94"/>
      <c r="D241" s="95"/>
      <c r="E241" s="96"/>
      <c r="F241" s="97"/>
      <c r="G241" s="97"/>
      <c r="H241" s="97"/>
      <c r="I241" s="97"/>
    </row>
    <row r="242" spans="2:16" ht="17.25">
      <c r="C242" s="94"/>
      <c r="D242" s="96"/>
      <c r="E242" s="96"/>
      <c r="F242" s="98"/>
      <c r="G242" s="97"/>
      <c r="H242" s="97"/>
      <c r="I242" s="97"/>
    </row>
    <row r="243" spans="2:16" ht="17.25">
      <c r="C243" s="94"/>
      <c r="D243" s="99"/>
      <c r="E243" s="99"/>
      <c r="F243" s="276"/>
      <c r="G243" s="276"/>
      <c r="H243" s="276"/>
      <c r="I243" s="276"/>
      <c r="J243" s="96"/>
      <c r="K243" s="96"/>
      <c r="L243" s="96"/>
      <c r="M243" s="97"/>
      <c r="N243" s="97"/>
      <c r="O243" s="97"/>
      <c r="P243" s="97"/>
    </row>
    <row r="244" spans="2:16" ht="18">
      <c r="C244" s="173"/>
      <c r="D244" s="95"/>
      <c r="E244" s="96"/>
      <c r="F244" s="96"/>
      <c r="G244" s="96"/>
      <c r="H244" s="96"/>
      <c r="I244" s="96"/>
      <c r="J244" s="96"/>
      <c r="K244" s="96"/>
      <c r="L244" s="96"/>
      <c r="M244" s="98"/>
      <c r="N244" s="98"/>
      <c r="O244" s="97"/>
      <c r="P244" s="97"/>
    </row>
    <row r="245" spans="2:16" s="94" customFormat="1" ht="17.25"/>
    <row r="246" spans="2:16" ht="17.25">
      <c r="B246" s="94"/>
      <c r="C246" s="94"/>
      <c r="D246" s="171"/>
      <c r="E246" s="94"/>
      <c r="F246" s="94"/>
      <c r="G246" s="98"/>
      <c r="H246" s="98"/>
      <c r="I246" s="97"/>
      <c r="J246" s="97"/>
      <c r="K246" s="97"/>
      <c r="L246" s="97"/>
      <c r="N246" s="98"/>
      <c r="O246" s="97"/>
      <c r="P246" s="97"/>
    </row>
    <row r="247" spans="2:16" ht="17.25">
      <c r="B247" s="94"/>
      <c r="C247" s="94"/>
      <c r="D247" s="171"/>
      <c r="E247" s="94"/>
      <c r="F247" s="94"/>
      <c r="G247" s="94"/>
      <c r="H247" s="94"/>
      <c r="I247" s="95"/>
      <c r="J247" s="96"/>
      <c r="K247" s="96"/>
      <c r="L247" s="96"/>
      <c r="N247" s="94"/>
      <c r="O247" s="95"/>
      <c r="P247" s="96"/>
    </row>
    <row r="248" spans="2:16" ht="17.25">
      <c r="B248" s="94"/>
      <c r="C248" s="94"/>
      <c r="D248" s="171"/>
      <c r="E248" s="94"/>
      <c r="F248" s="94"/>
      <c r="G248" s="94"/>
      <c r="H248" s="94"/>
      <c r="I248" s="95"/>
      <c r="J248" s="96"/>
      <c r="K248" s="96"/>
      <c r="L248" s="96"/>
      <c r="N248" s="94"/>
      <c r="O248" s="95"/>
      <c r="P248" s="96"/>
    </row>
    <row r="249" spans="2:16" s="94" customFormat="1" ht="17.25">
      <c r="D249" s="171"/>
    </row>
    <row r="250" spans="2:16" s="94" customFormat="1" ht="17.25">
      <c r="D250" s="171"/>
      <c r="E250" s="171"/>
    </row>
    <row r="251" spans="2:16" s="94" customFormat="1" ht="17.25">
      <c r="D251" s="171"/>
      <c r="E251" s="171"/>
    </row>
    <row r="252" spans="2:16" s="94" customFormat="1" ht="17.25">
      <c r="D252" s="177"/>
      <c r="E252" s="171"/>
    </row>
    <row r="253" spans="2:16" s="94" customFormat="1" ht="17.25">
      <c r="D253" s="177"/>
      <c r="E253" s="171"/>
    </row>
    <row r="254" spans="2:16" s="94" customFormat="1" ht="17.25">
      <c r="D254" s="171"/>
      <c r="E254" s="171"/>
    </row>
    <row r="255" spans="2:16" s="94" customFormat="1" ht="17.25">
      <c r="D255" s="171"/>
      <c r="E255" s="171"/>
    </row>
    <row r="256" spans="2:16" s="94" customFormat="1" ht="17.25">
      <c r="D256" s="177"/>
      <c r="E256" s="171"/>
    </row>
    <row r="257" spans="1:8" s="94" customFormat="1" ht="17.25">
      <c r="D257" s="171"/>
      <c r="E257" s="171"/>
    </row>
    <row r="258" spans="1:8" s="94" customFormat="1" ht="17.25">
      <c r="D258" s="171"/>
      <c r="E258" s="171"/>
    </row>
    <row r="259" spans="1:8" s="94" customFormat="1" ht="17.25">
      <c r="D259" s="171"/>
      <c r="E259" s="171"/>
    </row>
    <row r="260" spans="1:8" ht="27.6" customHeight="1">
      <c r="A260" s="268"/>
      <c r="B260" s="268"/>
      <c r="C260" s="108"/>
      <c r="D260" s="171"/>
      <c r="E260" s="171"/>
      <c r="F260" s="106"/>
    </row>
    <row r="261" spans="1:8" ht="27.6" customHeight="1">
      <c r="A261" s="268"/>
      <c r="B261" s="268"/>
      <c r="C261" s="108"/>
      <c r="D261" s="269"/>
      <c r="E261" s="269"/>
      <c r="F261" s="106"/>
    </row>
    <row r="262" spans="1:8" ht="27.6" customHeight="1">
      <c r="A262" s="268"/>
      <c r="B262" s="268"/>
      <c r="C262" s="108"/>
      <c r="D262" s="269"/>
      <c r="E262" s="269"/>
      <c r="F262" s="106"/>
    </row>
    <row r="263" spans="1:8" ht="27.6" customHeight="1">
      <c r="A263" s="268"/>
      <c r="B263" s="268"/>
      <c r="C263" s="108"/>
      <c r="D263" s="269"/>
      <c r="E263" s="269"/>
      <c r="F263" s="106"/>
    </row>
    <row r="264" spans="1:8" ht="27.6" customHeight="1">
      <c r="A264" s="268"/>
      <c r="B264" s="268"/>
      <c r="C264" s="108"/>
      <c r="D264" s="269"/>
      <c r="E264" s="269"/>
      <c r="F264" s="106"/>
    </row>
    <row r="265" spans="1:8" ht="27.6" customHeight="1">
      <c r="A265" s="268"/>
      <c r="B265" s="268"/>
      <c r="C265" s="108"/>
      <c r="D265" s="269"/>
      <c r="E265" s="269"/>
      <c r="F265" s="106"/>
    </row>
    <row r="266" spans="1:8" ht="27.6" customHeight="1">
      <c r="A266" s="268"/>
      <c r="B266" s="268"/>
      <c r="C266" s="108"/>
      <c r="D266" s="269"/>
      <c r="E266" s="269"/>
      <c r="F266" s="106"/>
    </row>
    <row r="267" spans="1:8" ht="27.6" customHeight="1">
      <c r="A267" s="268"/>
      <c r="B267" s="268"/>
      <c r="C267" s="108"/>
      <c r="D267" s="269"/>
      <c r="E267" s="269"/>
      <c r="F267" s="106"/>
    </row>
    <row r="268" spans="1:8" ht="27.6" customHeight="1">
      <c r="A268" s="268"/>
      <c r="B268" s="268"/>
      <c r="C268" s="109"/>
      <c r="D268" s="269"/>
      <c r="E268" s="269"/>
      <c r="F268" s="106"/>
    </row>
    <row r="269" spans="1:8" ht="27.6" customHeight="1">
      <c r="A269" s="268"/>
      <c r="B269" s="268"/>
      <c r="C269" s="108"/>
      <c r="D269" s="269"/>
      <c r="E269" s="269"/>
      <c r="F269" s="106"/>
      <c r="G269" s="110"/>
      <c r="H269" s="110"/>
    </row>
    <row r="270" spans="1:8" ht="27.6" customHeight="1">
      <c r="A270" s="268"/>
      <c r="B270" s="268"/>
      <c r="C270" s="109"/>
      <c r="D270" s="269"/>
      <c r="E270" s="269"/>
      <c r="F270" s="106"/>
    </row>
    <row r="271" spans="1:8" ht="27.6" customHeight="1">
      <c r="A271" s="268"/>
      <c r="B271" s="268"/>
      <c r="C271" s="108"/>
      <c r="D271" s="269"/>
      <c r="E271" s="269"/>
      <c r="F271" s="106"/>
    </row>
    <row r="272" spans="1:8" ht="27.6" customHeight="1">
      <c r="A272" s="268"/>
      <c r="B272" s="268"/>
      <c r="C272" s="108"/>
      <c r="D272" s="269"/>
      <c r="E272" s="269"/>
      <c r="F272" s="106"/>
    </row>
    <row r="273" spans="1:6" ht="27.6" customHeight="1">
      <c r="A273" s="268"/>
      <c r="B273" s="268"/>
      <c r="C273" s="108"/>
      <c r="D273" s="269"/>
      <c r="E273" s="269"/>
      <c r="F273" s="106"/>
    </row>
    <row r="274" spans="1:6" ht="27.6" customHeight="1">
      <c r="A274" s="268"/>
      <c r="B274" s="268"/>
      <c r="C274" s="108"/>
      <c r="D274" s="269"/>
      <c r="E274" s="269"/>
      <c r="F274" s="106"/>
    </row>
    <row r="275" spans="1:6" ht="27.6" customHeight="1">
      <c r="A275" s="268"/>
      <c r="B275" s="268"/>
      <c r="C275" s="108"/>
      <c r="D275" s="269"/>
      <c r="E275" s="269"/>
      <c r="F275" s="106"/>
    </row>
    <row r="276" spans="1:6" ht="27.6" customHeight="1">
      <c r="A276" s="268"/>
      <c r="B276" s="268"/>
      <c r="C276" s="108"/>
      <c r="D276" s="269"/>
      <c r="E276" s="269"/>
      <c r="F276" s="106"/>
    </row>
    <row r="277" spans="1:6" ht="27.6" customHeight="1">
      <c r="A277" s="268"/>
      <c r="B277" s="268"/>
      <c r="C277" s="108"/>
      <c r="D277" s="269"/>
      <c r="E277" s="269"/>
      <c r="F277" s="106"/>
    </row>
    <row r="278" spans="1:6" ht="27.6" customHeight="1">
      <c r="A278" s="268"/>
      <c r="B278" s="268"/>
      <c r="C278" s="108"/>
      <c r="D278" s="269"/>
      <c r="E278" s="269"/>
      <c r="F278" s="106"/>
    </row>
    <row r="279" spans="1:6" ht="27.6" customHeight="1">
      <c r="A279" s="268"/>
      <c r="B279" s="268"/>
      <c r="C279" s="108"/>
      <c r="D279" s="269"/>
      <c r="E279" s="269"/>
      <c r="F279" s="106"/>
    </row>
    <row r="280" spans="1:6" ht="27.6" customHeight="1">
      <c r="A280" s="268"/>
      <c r="B280" s="268"/>
      <c r="C280" s="108"/>
      <c r="D280" s="269"/>
      <c r="E280" s="269"/>
      <c r="F280" s="106"/>
    </row>
    <row r="281" spans="1:6" ht="27.6" customHeight="1">
      <c r="A281" s="268"/>
      <c r="B281" s="268"/>
      <c r="C281" s="108"/>
      <c r="D281" s="269"/>
      <c r="E281" s="269"/>
      <c r="F281" s="106"/>
    </row>
    <row r="282" spans="1:6" ht="27.6" customHeight="1">
      <c r="A282" s="268"/>
      <c r="B282" s="268"/>
      <c r="C282" s="108"/>
      <c r="D282" s="269"/>
      <c r="E282" s="269"/>
      <c r="F282" s="106"/>
    </row>
    <row r="283" spans="1:6" ht="27.6" customHeight="1">
      <c r="A283" s="268"/>
      <c r="B283" s="268"/>
      <c r="C283" s="108"/>
      <c r="D283" s="269"/>
      <c r="E283" s="269"/>
      <c r="F283" s="106"/>
    </row>
    <row r="284" spans="1:6" ht="27.6" customHeight="1">
      <c r="A284" s="268"/>
      <c r="B284" s="268"/>
      <c r="C284" s="108"/>
      <c r="D284" s="269"/>
      <c r="E284" s="269"/>
      <c r="F284" s="106"/>
    </row>
    <row r="285" spans="1:6" ht="27.6" customHeight="1">
      <c r="A285" s="268"/>
      <c r="B285" s="268"/>
      <c r="C285" s="108"/>
      <c r="D285" s="269"/>
      <c r="E285" s="269"/>
      <c r="F285" s="106"/>
    </row>
    <row r="286" spans="1:6" ht="27.6" customHeight="1">
      <c r="A286" s="268"/>
      <c r="B286" s="268"/>
      <c r="C286" s="108"/>
      <c r="D286" s="269"/>
      <c r="E286" s="269"/>
      <c r="F286" s="106"/>
    </row>
    <row r="287" spans="1:6" ht="27.6" customHeight="1">
      <c r="A287" s="268"/>
      <c r="B287" s="268"/>
      <c r="C287" s="108"/>
      <c r="D287" s="269"/>
      <c r="E287" s="269"/>
      <c r="F287" s="106"/>
    </row>
    <row r="288" spans="1:6" ht="27.6" customHeight="1">
      <c r="A288" s="268"/>
      <c r="B288" s="268"/>
      <c r="C288" s="108"/>
      <c r="D288" s="269"/>
      <c r="E288" s="269"/>
      <c r="F288" s="106"/>
    </row>
    <row r="289" spans="1:6" ht="27.6" customHeight="1">
      <c r="A289" s="268"/>
      <c r="B289" s="268"/>
      <c r="C289" s="108"/>
      <c r="D289" s="269"/>
      <c r="E289" s="269"/>
      <c r="F289" s="106"/>
    </row>
    <row r="290" spans="1:6" ht="27.6" customHeight="1">
      <c r="A290" s="268"/>
      <c r="B290" s="268"/>
      <c r="C290" s="108"/>
      <c r="D290" s="269"/>
      <c r="E290" s="269"/>
      <c r="F290" s="106"/>
    </row>
    <row r="291" spans="1:6" ht="27.6" customHeight="1">
      <c r="A291" s="268"/>
      <c r="B291" s="268"/>
      <c r="C291" s="108"/>
      <c r="D291" s="269"/>
      <c r="E291" s="269"/>
      <c r="F291" s="106"/>
    </row>
    <row r="292" spans="1:6" ht="27.6" customHeight="1">
      <c r="A292" s="268"/>
      <c r="B292" s="268"/>
      <c r="C292" s="108"/>
      <c r="D292" s="269"/>
      <c r="E292" s="269"/>
      <c r="F292" s="106"/>
    </row>
    <row r="293" spans="1:6" ht="27.6" customHeight="1">
      <c r="A293" s="268"/>
      <c r="B293" s="268"/>
      <c r="C293" s="108"/>
      <c r="D293" s="269"/>
      <c r="E293" s="269"/>
      <c r="F293" s="106"/>
    </row>
    <row r="294" spans="1:6" ht="27.6" customHeight="1">
      <c r="A294" s="268"/>
      <c r="B294" s="268"/>
      <c r="C294" s="108"/>
      <c r="D294" s="269"/>
      <c r="E294" s="269"/>
      <c r="F294" s="106"/>
    </row>
    <row r="295" spans="1:6" ht="27.6" customHeight="1">
      <c r="A295" s="268"/>
      <c r="B295" s="268"/>
      <c r="C295" s="108"/>
      <c r="D295" s="269"/>
      <c r="E295" s="269"/>
      <c r="F295" s="106"/>
    </row>
    <row r="296" spans="1:6" ht="27.6" customHeight="1">
      <c r="A296" s="268"/>
      <c r="B296" s="268"/>
      <c r="C296" s="108"/>
      <c r="D296" s="269"/>
      <c r="E296" s="269"/>
      <c r="F296" s="106"/>
    </row>
    <row r="297" spans="1:6" ht="27.6" customHeight="1">
      <c r="A297" s="268"/>
      <c r="B297" s="268"/>
      <c r="C297" s="108"/>
      <c r="D297" s="269"/>
      <c r="E297" s="269"/>
      <c r="F297" s="106"/>
    </row>
    <row r="298" spans="1:6" ht="27.6" customHeight="1">
      <c r="A298" s="268"/>
      <c r="B298" s="268"/>
      <c r="C298" s="108"/>
      <c r="D298" s="269"/>
      <c r="E298" s="269"/>
      <c r="F298" s="106"/>
    </row>
    <row r="299" spans="1:6" ht="27.6" customHeight="1">
      <c r="A299" s="268"/>
      <c r="B299" s="268"/>
      <c r="C299" s="108"/>
      <c r="D299" s="269"/>
      <c r="E299" s="269"/>
      <c r="F299" s="106"/>
    </row>
    <row r="300" spans="1:6" ht="27.6" customHeight="1">
      <c r="A300" s="268"/>
      <c r="B300" s="268"/>
      <c r="C300" s="108"/>
      <c r="D300" s="269"/>
      <c r="E300" s="269"/>
      <c r="F300" s="106"/>
    </row>
    <row r="301" spans="1:6" ht="27.6" customHeight="1">
      <c r="A301" s="268"/>
      <c r="B301" s="268"/>
      <c r="C301" s="108"/>
      <c r="D301" s="269"/>
      <c r="E301" s="269"/>
      <c r="F301" s="106"/>
    </row>
    <row r="302" spans="1:6" ht="27.6" customHeight="1">
      <c r="A302" s="268"/>
      <c r="B302" s="268"/>
      <c r="C302" s="108"/>
      <c r="D302" s="269"/>
      <c r="E302" s="269"/>
      <c r="F302" s="106"/>
    </row>
    <row r="303" spans="1:6" ht="27.6" customHeight="1">
      <c r="A303" s="268"/>
      <c r="B303" s="268"/>
      <c r="C303" s="108"/>
      <c r="D303" s="269"/>
      <c r="E303" s="269"/>
      <c r="F303" s="106"/>
    </row>
    <row r="304" spans="1:6" ht="27.6" customHeight="1">
      <c r="A304" s="268"/>
      <c r="B304" s="268"/>
      <c r="C304" s="108"/>
      <c r="D304" s="269"/>
      <c r="E304" s="269"/>
      <c r="F304" s="106"/>
    </row>
    <row r="305" spans="1:6" ht="27.6" customHeight="1">
      <c r="A305" s="268"/>
      <c r="B305" s="268"/>
      <c r="C305" s="108"/>
      <c r="D305" s="269"/>
      <c r="E305" s="269"/>
      <c r="F305" s="106"/>
    </row>
    <row r="306" spans="1:6" ht="27.6" customHeight="1">
      <c r="A306" s="268"/>
      <c r="B306" s="268"/>
      <c r="C306" s="108"/>
      <c r="D306" s="269"/>
      <c r="E306" s="269"/>
      <c r="F306" s="106"/>
    </row>
    <row r="307" spans="1:6" ht="27.6" customHeight="1">
      <c r="A307" s="268"/>
      <c r="B307" s="268"/>
      <c r="C307" s="108"/>
      <c r="D307" s="269"/>
      <c r="E307" s="269"/>
      <c r="F307" s="106"/>
    </row>
    <row r="308" spans="1:6" ht="27.6" customHeight="1">
      <c r="A308" s="268"/>
      <c r="B308" s="268"/>
      <c r="C308" s="108"/>
      <c r="D308" s="269"/>
      <c r="E308" s="269"/>
      <c r="F308" s="106"/>
    </row>
    <row r="309" spans="1:6" ht="27.6" customHeight="1">
      <c r="A309" s="268"/>
      <c r="B309" s="268"/>
      <c r="C309" s="108"/>
      <c r="D309" s="269"/>
      <c r="E309" s="269"/>
      <c r="F309" s="106"/>
    </row>
    <row r="310" spans="1:6" ht="27.6" customHeight="1">
      <c r="A310" s="268"/>
      <c r="B310" s="268"/>
      <c r="C310" s="108"/>
      <c r="D310" s="269"/>
      <c r="E310" s="269"/>
      <c r="F310" s="106"/>
    </row>
    <row r="311" spans="1:6" ht="27.6" customHeight="1">
      <c r="A311" s="268"/>
      <c r="B311" s="268"/>
      <c r="C311" s="108"/>
      <c r="D311" s="269"/>
      <c r="E311" s="269"/>
      <c r="F311" s="106"/>
    </row>
    <row r="312" spans="1:6" ht="27.6" customHeight="1">
      <c r="A312" s="268"/>
      <c r="B312" s="268"/>
      <c r="C312" s="108"/>
      <c r="D312" s="269"/>
      <c r="E312" s="269"/>
      <c r="F312" s="106"/>
    </row>
    <row r="313" spans="1:6" ht="27.6" customHeight="1">
      <c r="A313" s="268"/>
      <c r="B313" s="268"/>
      <c r="C313" s="108"/>
      <c r="D313" s="269"/>
      <c r="E313" s="269"/>
      <c r="F313" s="106"/>
    </row>
    <row r="314" spans="1:6" ht="27.6" customHeight="1">
      <c r="A314" s="268"/>
      <c r="B314" s="268"/>
      <c r="C314" s="108"/>
      <c r="D314" s="269"/>
      <c r="E314" s="269"/>
      <c r="F314" s="106"/>
    </row>
    <row r="315" spans="1:6" ht="27.6" customHeight="1">
      <c r="A315" s="268"/>
      <c r="B315" s="268"/>
      <c r="C315" s="108"/>
      <c r="D315" s="269"/>
      <c r="E315" s="269"/>
      <c r="F315" s="106"/>
    </row>
    <row r="316" spans="1:6" ht="27.6" customHeight="1">
      <c r="A316" s="270"/>
      <c r="B316" s="270"/>
      <c r="C316" s="107"/>
      <c r="D316" s="270"/>
      <c r="E316" s="270"/>
      <c r="F316" s="106"/>
    </row>
  </sheetData>
  <mergeCells count="192">
    <mergeCell ref="A236:E236"/>
    <mergeCell ref="G104:G107"/>
    <mergeCell ref="H104:H107"/>
    <mergeCell ref="A233:E233"/>
    <mergeCell ref="A234:E234"/>
    <mergeCell ref="A235:E235"/>
    <mergeCell ref="F157:F160"/>
    <mergeCell ref="G157:G160"/>
    <mergeCell ref="H157:H160"/>
    <mergeCell ref="I157:I160"/>
    <mergeCell ref="H27:H29"/>
    <mergeCell ref="H23:H24"/>
    <mergeCell ref="G23:G24"/>
    <mergeCell ref="G27:G29"/>
    <mergeCell ref="G35:G36"/>
    <mergeCell ref="G39:G43"/>
    <mergeCell ref="F172:F173"/>
    <mergeCell ref="F168:F169"/>
    <mergeCell ref="F174:F178"/>
    <mergeCell ref="F180:F182"/>
    <mergeCell ref="G174:G178"/>
    <mergeCell ref="G172:G173"/>
    <mergeCell ref="G168:G169"/>
    <mergeCell ref="G180:G182"/>
    <mergeCell ref="H172:H173"/>
    <mergeCell ref="H168:H169"/>
    <mergeCell ref="H174:H178"/>
    <mergeCell ref="H180:H182"/>
    <mergeCell ref="A237:E237"/>
    <mergeCell ref="F243:I243"/>
    <mergeCell ref="A260:B260"/>
    <mergeCell ref="A261:B261"/>
    <mergeCell ref="D261:E261"/>
    <mergeCell ref="A262:B262"/>
    <mergeCell ref="D262:E262"/>
    <mergeCell ref="A263:B263"/>
    <mergeCell ref="D263:E263"/>
    <mergeCell ref="A264:B264"/>
    <mergeCell ref="D264:E264"/>
    <mergeCell ref="A265:B265"/>
    <mergeCell ref="D265:E265"/>
    <mergeCell ref="A266:B266"/>
    <mergeCell ref="D266:E266"/>
    <mergeCell ref="A267:B267"/>
    <mergeCell ref="D267:E267"/>
    <mergeCell ref="A268:B268"/>
    <mergeCell ref="D268:E268"/>
    <mergeCell ref="A269:B269"/>
    <mergeCell ref="D269:E269"/>
    <mergeCell ref="A270:B270"/>
    <mergeCell ref="D270:E270"/>
    <mergeCell ref="A271:B271"/>
    <mergeCell ref="D271:E271"/>
    <mergeCell ref="A272:B272"/>
    <mergeCell ref="D272:E272"/>
    <mergeCell ref="A273:B273"/>
    <mergeCell ref="D273:E273"/>
    <mergeCell ref="A274:B274"/>
    <mergeCell ref="D274:E274"/>
    <mergeCell ref="A275:B275"/>
    <mergeCell ref="D275:E275"/>
    <mergeCell ref="A276:B276"/>
    <mergeCell ref="D276:E276"/>
    <mergeCell ref="A277:B277"/>
    <mergeCell ref="D277:E277"/>
    <mergeCell ref="A278:B278"/>
    <mergeCell ref="D278:E278"/>
    <mergeCell ref="A279:B279"/>
    <mergeCell ref="D279:E279"/>
    <mergeCell ref="A280:B280"/>
    <mergeCell ref="D280:E280"/>
    <mergeCell ref="A281:B281"/>
    <mergeCell ref="D281:E281"/>
    <mergeCell ref="A282:B282"/>
    <mergeCell ref="D282:E282"/>
    <mergeCell ref="A283:B283"/>
    <mergeCell ref="D283:E283"/>
    <mergeCell ref="A284:B284"/>
    <mergeCell ref="D284:E284"/>
    <mergeCell ref="A285:B285"/>
    <mergeCell ref="D285:E285"/>
    <mergeCell ref="A286:B286"/>
    <mergeCell ref="D286:E286"/>
    <mergeCell ref="A287:B287"/>
    <mergeCell ref="D287:E287"/>
    <mergeCell ref="A288:B288"/>
    <mergeCell ref="D288:E288"/>
    <mergeCell ref="A289:B289"/>
    <mergeCell ref="D289:E289"/>
    <mergeCell ref="A290:B290"/>
    <mergeCell ref="D290:E290"/>
    <mergeCell ref="A291:B291"/>
    <mergeCell ref="D291:E291"/>
    <mergeCell ref="A292:B292"/>
    <mergeCell ref="D292:E292"/>
    <mergeCell ref="A293:B293"/>
    <mergeCell ref="D293:E293"/>
    <mergeCell ref="A294:B294"/>
    <mergeCell ref="D294:E294"/>
    <mergeCell ref="A295:B295"/>
    <mergeCell ref="D295:E295"/>
    <mergeCell ref="A296:B296"/>
    <mergeCell ref="D296:E296"/>
    <mergeCell ref="A297:B297"/>
    <mergeCell ref="D297:E297"/>
    <mergeCell ref="A298:B298"/>
    <mergeCell ref="D298:E298"/>
    <mergeCell ref="D307:E307"/>
    <mergeCell ref="A308:B308"/>
    <mergeCell ref="D308:E308"/>
    <mergeCell ref="A299:B299"/>
    <mergeCell ref="D299:E299"/>
    <mergeCell ref="A300:B300"/>
    <mergeCell ref="D300:E300"/>
    <mergeCell ref="A301:B301"/>
    <mergeCell ref="D301:E301"/>
    <mergeCell ref="A302:B302"/>
    <mergeCell ref="D302:E302"/>
    <mergeCell ref="A303:B303"/>
    <mergeCell ref="D303:E303"/>
    <mergeCell ref="A314:B314"/>
    <mergeCell ref="D314:E314"/>
    <mergeCell ref="A315:B315"/>
    <mergeCell ref="D315:E315"/>
    <mergeCell ref="A316:B316"/>
    <mergeCell ref="D316:E316"/>
    <mergeCell ref="F104:F107"/>
    <mergeCell ref="A309:B309"/>
    <mergeCell ref="D309:E309"/>
    <mergeCell ref="A310:B310"/>
    <mergeCell ref="D310:E310"/>
    <mergeCell ref="A311:B311"/>
    <mergeCell ref="D311:E311"/>
    <mergeCell ref="A312:B312"/>
    <mergeCell ref="D312:E312"/>
    <mergeCell ref="A313:B313"/>
    <mergeCell ref="D313:E313"/>
    <mergeCell ref="A304:B304"/>
    <mergeCell ref="D304:E304"/>
    <mergeCell ref="A305:B305"/>
    <mergeCell ref="D305:E305"/>
    <mergeCell ref="A306:B306"/>
    <mergeCell ref="D306:E306"/>
    <mergeCell ref="A307:B307"/>
    <mergeCell ref="D1:M7"/>
    <mergeCell ref="N81:N102"/>
    <mergeCell ref="N127:N135"/>
    <mergeCell ref="N141:N142"/>
    <mergeCell ref="N145:N152"/>
    <mergeCell ref="L104:L107"/>
    <mergeCell ref="A9:M9"/>
    <mergeCell ref="A10:B10"/>
    <mergeCell ref="C10:M10"/>
    <mergeCell ref="A11:B11"/>
    <mergeCell ref="C11:M11"/>
    <mergeCell ref="F39:F43"/>
    <mergeCell ref="I16:I20"/>
    <mergeCell ref="I23:I24"/>
    <mergeCell ref="I27:I29"/>
    <mergeCell ref="F16:F20"/>
    <mergeCell ref="G16:G20"/>
    <mergeCell ref="H16:H20"/>
    <mergeCell ref="F31:F33"/>
    <mergeCell ref="G31:G33"/>
    <mergeCell ref="F27:F29"/>
    <mergeCell ref="F23:F24"/>
    <mergeCell ref="F35:F36"/>
    <mergeCell ref="H35:H36"/>
    <mergeCell ref="O127:O135"/>
    <mergeCell ref="O141:O142"/>
    <mergeCell ref="O145:O152"/>
    <mergeCell ref="M104:M107"/>
    <mergeCell ref="H39:H43"/>
    <mergeCell ref="I31:I33"/>
    <mergeCell ref="I35:I36"/>
    <mergeCell ref="I39:I43"/>
    <mergeCell ref="F52:F57"/>
    <mergeCell ref="G52:G57"/>
    <mergeCell ref="H52:H57"/>
    <mergeCell ref="I52:I57"/>
    <mergeCell ref="O81:O102"/>
    <mergeCell ref="O104:O105"/>
    <mergeCell ref="H31:H33"/>
    <mergeCell ref="F47:F48"/>
    <mergeCell ref="G47:G48"/>
    <mergeCell ref="H47:H48"/>
    <mergeCell ref="F100:F101"/>
    <mergeCell ref="G100:G101"/>
    <mergeCell ref="H100:H101"/>
    <mergeCell ref="I104:I107"/>
    <mergeCell ref="J104:J107"/>
    <mergeCell ref="K104:K107"/>
  </mergeCells>
  <phoneticPr fontId="22" type="noConversion"/>
  <hyperlinks>
    <hyperlink ref="P193" r:id="rId1" xr:uid="{646FB678-8DF0-4E89-A14F-BF7E0691A9EE}"/>
    <hyperlink ref="P198" r:id="rId2" location="origin%3Dshare%26sid%3Dshare%26wid%3DMLB2797892680" xr:uid="{B54B848D-948F-4F4A-81F4-6DF964B302C0}"/>
  </hyperlinks>
  <printOptions horizontalCentered="1"/>
  <pageMargins left="0.11811023622047245" right="0.11811023622047245" top="0.19685039370078741" bottom="0.19685039370078741" header="0.31496062992125984" footer="0.31496062992125984"/>
  <pageSetup paperSize="9" scale="46" fitToHeight="0" orientation="landscape" horizontalDpi="360" verticalDpi="36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7CB8-6E5F-B644-A276-427CDEF567DF}">
  <dimension ref="A2:Q95"/>
  <sheetViews>
    <sheetView topLeftCell="A41" zoomScaleNormal="100" workbookViewId="0">
      <selection activeCell="E83" sqref="E83"/>
    </sheetView>
  </sheetViews>
  <sheetFormatPr defaultColWidth="11.42578125" defaultRowHeight="15"/>
  <cols>
    <col min="3" max="3" width="27.42578125" customWidth="1"/>
    <col min="4" max="4" width="13.28515625" bestFit="1" customWidth="1"/>
    <col min="8" max="8" width="13.140625" customWidth="1"/>
    <col min="12" max="12" width="25.85546875" bestFit="1" customWidth="1"/>
    <col min="13" max="13" width="17.7109375" customWidth="1"/>
    <col min="17" max="17" width="13.140625" customWidth="1"/>
  </cols>
  <sheetData>
    <row r="2" spans="1:17">
      <c r="A2" s="286" t="s">
        <v>443</v>
      </c>
      <c r="B2" s="287"/>
      <c r="C2" s="287"/>
      <c r="D2" s="287"/>
      <c r="E2" s="287"/>
      <c r="F2" s="287"/>
      <c r="G2" s="287"/>
      <c r="H2" s="185"/>
      <c r="J2" s="286" t="s">
        <v>487</v>
      </c>
      <c r="K2" s="287"/>
      <c r="L2" s="287"/>
      <c r="M2" s="287"/>
      <c r="N2" s="287"/>
      <c r="O2" s="287"/>
      <c r="P2" s="287"/>
      <c r="Q2" s="185"/>
    </row>
    <row r="3" spans="1:17">
      <c r="A3" s="186"/>
      <c r="H3" s="187"/>
      <c r="J3" s="186"/>
      <c r="Q3" s="187"/>
    </row>
    <row r="4" spans="1:17">
      <c r="A4" s="188" t="s">
        <v>3</v>
      </c>
      <c r="B4" s="189" t="s">
        <v>105</v>
      </c>
      <c r="C4" s="189" t="s">
        <v>406</v>
      </c>
      <c r="D4" s="189" t="s">
        <v>11</v>
      </c>
      <c r="E4" s="189" t="s">
        <v>408</v>
      </c>
      <c r="F4" s="189" t="s">
        <v>417</v>
      </c>
      <c r="G4" s="189" t="s">
        <v>416</v>
      </c>
      <c r="H4" s="190" t="s">
        <v>13</v>
      </c>
      <c r="J4" s="188" t="s">
        <v>3</v>
      </c>
      <c r="K4" s="189" t="s">
        <v>105</v>
      </c>
      <c r="L4" s="189" t="s">
        <v>406</v>
      </c>
      <c r="M4" s="189" t="s">
        <v>11</v>
      </c>
      <c r="N4" s="189" t="s">
        <v>408</v>
      </c>
      <c r="O4" s="189" t="s">
        <v>417</v>
      </c>
      <c r="P4" s="189" t="s">
        <v>416</v>
      </c>
      <c r="Q4" s="190" t="s">
        <v>13</v>
      </c>
    </row>
    <row r="5" spans="1:17">
      <c r="A5" s="186">
        <v>1</v>
      </c>
      <c r="B5" s="200">
        <v>45817</v>
      </c>
      <c r="C5" s="189" t="s">
        <v>422</v>
      </c>
      <c r="D5" s="189" t="s">
        <v>96</v>
      </c>
      <c r="E5" s="192">
        <v>-120</v>
      </c>
      <c r="F5" s="189" t="s">
        <v>418</v>
      </c>
      <c r="G5" s="189">
        <v>597697</v>
      </c>
      <c r="H5" s="193" t="s">
        <v>325</v>
      </c>
      <c r="J5" s="188">
        <v>1</v>
      </c>
      <c r="K5" s="191">
        <v>45825</v>
      </c>
      <c r="L5" s="189" t="s">
        <v>436</v>
      </c>
      <c r="M5" s="189" t="s">
        <v>441</v>
      </c>
      <c r="N5" s="189">
        <v>-2994.78</v>
      </c>
      <c r="O5" s="199" t="s">
        <v>407</v>
      </c>
      <c r="P5" s="189">
        <v>75515</v>
      </c>
      <c r="Q5" s="193" t="s">
        <v>325</v>
      </c>
    </row>
    <row r="6" spans="1:17">
      <c r="A6" s="186">
        <v>2</v>
      </c>
      <c r="B6" s="191">
        <v>45818</v>
      </c>
      <c r="C6" s="189" t="s">
        <v>426</v>
      </c>
      <c r="D6" s="189" t="s">
        <v>437</v>
      </c>
      <c r="E6" s="192">
        <v>3000</v>
      </c>
      <c r="F6" s="199" t="s">
        <v>425</v>
      </c>
      <c r="G6">
        <v>0</v>
      </c>
      <c r="H6" s="193" t="s">
        <v>414</v>
      </c>
      <c r="J6" s="186">
        <v>2</v>
      </c>
      <c r="K6" s="191">
        <v>45828</v>
      </c>
      <c r="L6" s="189" t="s">
        <v>426</v>
      </c>
      <c r="M6" s="189" t="s">
        <v>437</v>
      </c>
      <c r="N6" s="192">
        <v>5000</v>
      </c>
      <c r="O6" s="199" t="s">
        <v>425</v>
      </c>
      <c r="P6">
        <v>0</v>
      </c>
      <c r="Q6" s="193" t="s">
        <v>414</v>
      </c>
    </row>
    <row r="7" spans="1:17">
      <c r="A7" s="186">
        <v>3</v>
      </c>
      <c r="B7" s="191">
        <v>45818</v>
      </c>
      <c r="C7" s="189" t="s">
        <v>413</v>
      </c>
      <c r="D7" s="189" t="s">
        <v>438</v>
      </c>
      <c r="E7" s="192">
        <v>-310.5</v>
      </c>
      <c r="F7" s="199" t="s">
        <v>407</v>
      </c>
      <c r="G7">
        <v>26967</v>
      </c>
      <c r="H7" s="193" t="s">
        <v>325</v>
      </c>
      <c r="J7" s="203"/>
      <c r="K7" s="204"/>
      <c r="L7" s="204"/>
      <c r="M7" s="204"/>
      <c r="N7" s="204"/>
      <c r="O7" s="204"/>
      <c r="P7" s="204"/>
      <c r="Q7" s="205"/>
    </row>
    <row r="8" spans="1:17">
      <c r="A8" s="186">
        <v>4</v>
      </c>
      <c r="B8" s="191">
        <v>45819</v>
      </c>
      <c r="C8" s="189" t="s">
        <v>415</v>
      </c>
      <c r="D8" s="189" t="s">
        <v>440</v>
      </c>
      <c r="E8" s="192">
        <v>-161.4</v>
      </c>
      <c r="F8" s="199" t="s">
        <v>418</v>
      </c>
      <c r="G8">
        <v>11133</v>
      </c>
      <c r="H8" s="193" t="s">
        <v>325</v>
      </c>
      <c r="J8" s="186"/>
      <c r="Q8" s="187"/>
    </row>
    <row r="9" spans="1:17">
      <c r="A9" s="186">
        <v>5</v>
      </c>
      <c r="B9" s="191">
        <v>45819</v>
      </c>
      <c r="C9" s="189" t="s">
        <v>419</v>
      </c>
      <c r="D9" s="189" t="s">
        <v>440</v>
      </c>
      <c r="E9" s="192">
        <v>-169.41</v>
      </c>
      <c r="F9" s="199" t="s">
        <v>418</v>
      </c>
      <c r="G9">
        <v>229792</v>
      </c>
      <c r="H9" s="193" t="s">
        <v>325</v>
      </c>
      <c r="J9" s="188"/>
      <c r="K9" s="189"/>
      <c r="L9" s="189"/>
      <c r="M9" s="189"/>
      <c r="N9" s="189"/>
      <c r="O9" s="189"/>
      <c r="P9" s="189"/>
      <c r="Q9" s="190"/>
    </row>
    <row r="10" spans="1:17">
      <c r="A10" s="186"/>
      <c r="B10" s="191"/>
      <c r="C10" s="189"/>
      <c r="D10" s="189"/>
      <c r="E10" s="192"/>
      <c r="F10" s="192"/>
      <c r="H10" s="187"/>
      <c r="J10" s="188"/>
      <c r="K10" s="191"/>
      <c r="L10" s="196"/>
      <c r="M10" s="196"/>
      <c r="N10" s="197"/>
      <c r="O10" s="199"/>
      <c r="Q10" s="190"/>
    </row>
    <row r="11" spans="1:17">
      <c r="A11" s="286" t="s">
        <v>444</v>
      </c>
      <c r="B11" s="287"/>
      <c r="C11" s="287"/>
      <c r="D11" s="287"/>
      <c r="E11" s="287"/>
      <c r="F11" s="287"/>
      <c r="G11" s="287"/>
      <c r="H11" s="185"/>
      <c r="J11" s="286" t="s">
        <v>490</v>
      </c>
      <c r="K11" s="287"/>
      <c r="L11" s="287"/>
      <c r="M11" s="287"/>
      <c r="N11" s="287"/>
      <c r="O11" s="287"/>
      <c r="P11" s="287"/>
      <c r="Q11" s="185"/>
    </row>
    <row r="12" spans="1:17">
      <c r="A12" s="186"/>
      <c r="H12" s="187"/>
      <c r="J12" s="186"/>
      <c r="Q12" s="187"/>
    </row>
    <row r="13" spans="1:17">
      <c r="A13" s="188" t="s">
        <v>3</v>
      </c>
      <c r="B13" s="189" t="s">
        <v>105</v>
      </c>
      <c r="C13" s="189" t="s">
        <v>406</v>
      </c>
      <c r="D13" s="189" t="s">
        <v>11</v>
      </c>
      <c r="E13" s="189" t="s">
        <v>408</v>
      </c>
      <c r="F13" s="189" t="s">
        <v>417</v>
      </c>
      <c r="G13" s="189" t="s">
        <v>416</v>
      </c>
      <c r="H13" s="190" t="s">
        <v>13</v>
      </c>
      <c r="J13" s="188" t="s">
        <v>3</v>
      </c>
      <c r="K13" s="189" t="s">
        <v>105</v>
      </c>
      <c r="L13" s="189" t="s">
        <v>406</v>
      </c>
      <c r="M13" s="189" t="s">
        <v>11</v>
      </c>
      <c r="N13" s="189" t="s">
        <v>408</v>
      </c>
      <c r="O13" s="189" t="s">
        <v>417</v>
      </c>
      <c r="P13" s="189" t="s">
        <v>416</v>
      </c>
      <c r="Q13" s="190" t="s">
        <v>13</v>
      </c>
    </row>
    <row r="14" spans="1:17">
      <c r="A14" s="186">
        <v>6</v>
      </c>
      <c r="B14" s="200">
        <v>45821</v>
      </c>
      <c r="C14" s="189" t="s">
        <v>435</v>
      </c>
      <c r="D14" s="189" t="s">
        <v>439</v>
      </c>
      <c r="E14" s="192">
        <v>-2054.04</v>
      </c>
      <c r="F14" s="199" t="s">
        <v>407</v>
      </c>
      <c r="G14" s="189">
        <v>79715</v>
      </c>
      <c r="H14" s="193" t="s">
        <v>325</v>
      </c>
      <c r="J14" s="188">
        <v>3</v>
      </c>
      <c r="K14" s="200">
        <v>45831</v>
      </c>
      <c r="L14" s="189" t="s">
        <v>450</v>
      </c>
      <c r="M14" s="189" t="s">
        <v>449</v>
      </c>
      <c r="N14" s="192">
        <v>-110.64</v>
      </c>
      <c r="O14" s="199" t="s">
        <v>418</v>
      </c>
      <c r="P14" s="189">
        <v>93646</v>
      </c>
      <c r="Q14" s="193" t="s">
        <v>325</v>
      </c>
    </row>
    <row r="15" spans="1:17">
      <c r="A15" s="186">
        <v>7</v>
      </c>
      <c r="B15" s="191">
        <v>45822</v>
      </c>
      <c r="C15" s="189" t="s">
        <v>413</v>
      </c>
      <c r="D15" s="189" t="s">
        <v>438</v>
      </c>
      <c r="E15" s="192">
        <v>-40</v>
      </c>
      <c r="F15" s="199" t="s">
        <v>418</v>
      </c>
      <c r="G15">
        <v>133015</v>
      </c>
      <c r="H15" s="193" t="s">
        <v>325</v>
      </c>
      <c r="J15" s="186">
        <v>4</v>
      </c>
      <c r="K15" s="200">
        <v>45831</v>
      </c>
      <c r="L15" s="189" t="s">
        <v>450</v>
      </c>
      <c r="M15" s="189" t="s">
        <v>451</v>
      </c>
      <c r="N15" s="192">
        <v>-1126.8900000000001</v>
      </c>
      <c r="O15" s="199" t="s">
        <v>418</v>
      </c>
      <c r="P15">
        <v>244738</v>
      </c>
      <c r="Q15" s="193" t="s">
        <v>325</v>
      </c>
    </row>
    <row r="16" spans="1:17">
      <c r="A16" s="186">
        <v>8</v>
      </c>
      <c r="B16" s="191">
        <v>45827</v>
      </c>
      <c r="C16" s="189" t="s">
        <v>442</v>
      </c>
      <c r="D16" s="189" t="s">
        <v>439</v>
      </c>
      <c r="E16" s="192">
        <v>-836.61</v>
      </c>
      <c r="F16" s="199" t="s">
        <v>407</v>
      </c>
      <c r="G16">
        <v>1185</v>
      </c>
      <c r="H16" s="193" t="s">
        <v>325</v>
      </c>
      <c r="J16" s="203">
        <v>5</v>
      </c>
      <c r="K16" s="200">
        <v>45833</v>
      </c>
      <c r="L16" s="206" t="s">
        <v>461</v>
      </c>
      <c r="M16" s="206" t="s">
        <v>452</v>
      </c>
      <c r="N16" s="192">
        <v>-19</v>
      </c>
      <c r="O16" s="206" t="s">
        <v>418</v>
      </c>
      <c r="P16" s="204">
        <v>97483</v>
      </c>
      <c r="Q16" s="193" t="s">
        <v>325</v>
      </c>
    </row>
    <row r="17" spans="1:17">
      <c r="A17" s="186">
        <v>9</v>
      </c>
      <c r="B17" s="191">
        <v>45828</v>
      </c>
      <c r="C17" s="189" t="s">
        <v>426</v>
      </c>
      <c r="D17" s="189" t="s">
        <v>437</v>
      </c>
      <c r="E17" s="192">
        <v>3000</v>
      </c>
      <c r="F17" s="199" t="s">
        <v>425</v>
      </c>
      <c r="G17">
        <v>0</v>
      </c>
      <c r="H17" s="193" t="s">
        <v>414</v>
      </c>
      <c r="J17" s="186"/>
      <c r="Q17" s="187"/>
    </row>
    <row r="18" spans="1:17">
      <c r="A18" s="186"/>
      <c r="B18" s="191"/>
      <c r="C18" s="189"/>
      <c r="D18" s="189"/>
      <c r="E18" s="192"/>
      <c r="F18" s="199"/>
      <c r="H18" s="187"/>
      <c r="J18" s="188"/>
      <c r="K18" s="189"/>
      <c r="L18" s="189"/>
      <c r="M18" s="189"/>
      <c r="N18" s="189"/>
      <c r="O18" s="189"/>
      <c r="P18" s="189"/>
      <c r="Q18" s="190"/>
    </row>
    <row r="19" spans="1:17">
      <c r="A19" s="186"/>
      <c r="B19" s="191"/>
      <c r="C19" s="189"/>
      <c r="D19" s="189"/>
      <c r="E19" s="192"/>
      <c r="F19" s="192"/>
      <c r="H19" s="187"/>
      <c r="J19" s="188"/>
      <c r="K19" s="191"/>
      <c r="O19" s="199"/>
      <c r="Q19" s="190"/>
    </row>
    <row r="20" spans="1:17">
      <c r="A20" s="194"/>
      <c r="B20" s="201"/>
      <c r="C20" s="196"/>
      <c r="D20" s="196"/>
      <c r="E20" s="197"/>
      <c r="F20" s="202"/>
      <c r="G20" s="195"/>
      <c r="H20" s="198"/>
      <c r="J20" s="194"/>
      <c r="K20" s="195"/>
      <c r="L20" s="196"/>
      <c r="M20" s="196"/>
      <c r="N20" s="189"/>
      <c r="O20" s="197"/>
      <c r="P20" s="195"/>
      <c r="Q20" s="198"/>
    </row>
    <row r="21" spans="1:17">
      <c r="A21" s="286" t="s">
        <v>445</v>
      </c>
      <c r="B21" s="287"/>
      <c r="C21" s="287"/>
      <c r="D21" s="287"/>
      <c r="E21" s="287"/>
      <c r="F21" s="287"/>
      <c r="G21" s="287"/>
      <c r="H21" s="185"/>
      <c r="J21" s="286" t="s">
        <v>489</v>
      </c>
      <c r="K21" s="287"/>
      <c r="L21" s="287"/>
      <c r="M21" s="287"/>
      <c r="N21" s="287"/>
      <c r="O21" s="287"/>
      <c r="P21" s="287"/>
      <c r="Q21" s="185"/>
    </row>
    <row r="22" spans="1:17">
      <c r="A22" s="186"/>
      <c r="H22" s="187"/>
      <c r="J22" s="186"/>
      <c r="Q22" s="187"/>
    </row>
    <row r="23" spans="1:17">
      <c r="A23" s="188" t="s">
        <v>3</v>
      </c>
      <c r="B23" s="189" t="s">
        <v>105</v>
      </c>
      <c r="C23" s="189" t="s">
        <v>406</v>
      </c>
      <c r="D23" s="189" t="s">
        <v>11</v>
      </c>
      <c r="E23" s="189" t="s">
        <v>408</v>
      </c>
      <c r="F23" s="189" t="s">
        <v>417</v>
      </c>
      <c r="G23" s="189" t="s">
        <v>416</v>
      </c>
      <c r="H23" s="190" t="s">
        <v>13</v>
      </c>
      <c r="J23" s="188" t="s">
        <v>3</v>
      </c>
      <c r="K23" s="189" t="s">
        <v>105</v>
      </c>
      <c r="L23" s="189" t="s">
        <v>406</v>
      </c>
      <c r="M23" s="189" t="s">
        <v>11</v>
      </c>
      <c r="N23" s="189" t="s">
        <v>408</v>
      </c>
      <c r="O23" s="189" t="s">
        <v>417</v>
      </c>
      <c r="P23" s="189" t="s">
        <v>416</v>
      </c>
      <c r="Q23" s="190" t="s">
        <v>13</v>
      </c>
    </row>
    <row r="24" spans="1:17">
      <c r="A24" s="186">
        <v>10</v>
      </c>
      <c r="B24" s="200">
        <v>45832</v>
      </c>
      <c r="C24" s="189" t="s">
        <v>453</v>
      </c>
      <c r="D24" s="189" t="s">
        <v>449</v>
      </c>
      <c r="E24" s="192">
        <v>-458.33</v>
      </c>
      <c r="F24" s="199" t="s">
        <v>418</v>
      </c>
      <c r="G24" s="189">
        <v>93794</v>
      </c>
      <c r="H24" s="193" t="s">
        <v>325</v>
      </c>
      <c r="J24" s="186">
        <v>7</v>
      </c>
      <c r="K24" s="191">
        <v>45838</v>
      </c>
      <c r="L24" s="189" t="s">
        <v>450</v>
      </c>
      <c r="M24" s="189" t="s">
        <v>299</v>
      </c>
      <c r="N24" s="192">
        <v>-859.65</v>
      </c>
      <c r="O24" s="199" t="s">
        <v>407</v>
      </c>
      <c r="P24">
        <v>117315</v>
      </c>
      <c r="Q24" s="193" t="s">
        <v>325</v>
      </c>
    </row>
    <row r="25" spans="1:17">
      <c r="A25" s="186">
        <v>11</v>
      </c>
      <c r="B25" s="200">
        <v>45832</v>
      </c>
      <c r="C25" s="189" t="s">
        <v>455</v>
      </c>
      <c r="D25" s="189" t="s">
        <v>454</v>
      </c>
      <c r="E25" s="192">
        <v>-22</v>
      </c>
      <c r="F25" s="199" t="s">
        <v>418</v>
      </c>
      <c r="G25">
        <v>3697</v>
      </c>
      <c r="H25" s="193" t="s">
        <v>325</v>
      </c>
      <c r="J25" s="186">
        <v>8</v>
      </c>
      <c r="K25" s="191">
        <v>45838</v>
      </c>
      <c r="L25" s="189" t="s">
        <v>450</v>
      </c>
      <c r="M25" s="189" t="s">
        <v>299</v>
      </c>
      <c r="N25" s="192">
        <v>-744.7</v>
      </c>
      <c r="O25" s="199" t="s">
        <v>407</v>
      </c>
      <c r="P25">
        <v>117301</v>
      </c>
      <c r="Q25" s="193" t="s">
        <v>325</v>
      </c>
    </row>
    <row r="26" spans="1:17">
      <c r="A26" s="186">
        <v>12</v>
      </c>
      <c r="B26" s="191">
        <v>45834</v>
      </c>
      <c r="C26" s="189" t="s">
        <v>453</v>
      </c>
      <c r="D26" s="189" t="s">
        <v>449</v>
      </c>
      <c r="E26" s="192">
        <v>-202.07</v>
      </c>
      <c r="F26" s="199" t="s">
        <v>418</v>
      </c>
      <c r="G26">
        <v>93927</v>
      </c>
      <c r="H26" s="193" t="s">
        <v>325</v>
      </c>
      <c r="J26" s="186">
        <v>9</v>
      </c>
      <c r="K26" s="191">
        <v>45839</v>
      </c>
      <c r="L26" s="189" t="s">
        <v>450</v>
      </c>
      <c r="M26" s="189" t="s">
        <v>299</v>
      </c>
      <c r="N26" s="192">
        <v>-59.6</v>
      </c>
      <c r="O26" s="199" t="s">
        <v>407</v>
      </c>
      <c r="P26">
        <v>117365</v>
      </c>
      <c r="Q26" s="193" t="s">
        <v>325</v>
      </c>
    </row>
    <row r="27" spans="1:17">
      <c r="A27" s="186">
        <v>13</v>
      </c>
      <c r="B27" s="191">
        <v>45834</v>
      </c>
      <c r="C27" s="189" t="s">
        <v>453</v>
      </c>
      <c r="D27" s="189" t="s">
        <v>449</v>
      </c>
      <c r="E27" s="192">
        <v>-320.31</v>
      </c>
      <c r="F27" s="199" t="s">
        <v>407</v>
      </c>
      <c r="G27">
        <v>404737</v>
      </c>
      <c r="H27" s="193" t="s">
        <v>325</v>
      </c>
      <c r="J27" s="186">
        <v>12</v>
      </c>
      <c r="K27" s="200">
        <v>45839</v>
      </c>
      <c r="L27" s="189" t="s">
        <v>462</v>
      </c>
      <c r="M27" s="189" t="s">
        <v>299</v>
      </c>
      <c r="N27" s="192">
        <v>-471.8</v>
      </c>
      <c r="O27" s="199" t="s">
        <v>407</v>
      </c>
      <c r="P27" s="189">
        <v>117345</v>
      </c>
      <c r="Q27" s="193" t="s">
        <v>325</v>
      </c>
    </row>
    <row r="28" spans="1:17">
      <c r="A28" s="186"/>
      <c r="B28" s="191"/>
      <c r="C28" s="189"/>
      <c r="D28" s="189"/>
      <c r="E28" s="192"/>
      <c r="F28" s="199"/>
      <c r="H28" s="187"/>
      <c r="J28" s="186">
        <v>10</v>
      </c>
      <c r="K28" s="191">
        <v>45841</v>
      </c>
      <c r="L28" s="189" t="s">
        <v>450</v>
      </c>
      <c r="M28" s="189" t="s">
        <v>299</v>
      </c>
      <c r="N28" s="192">
        <v>-120.31</v>
      </c>
      <c r="O28" s="199" t="s">
        <v>407</v>
      </c>
      <c r="P28">
        <v>117432</v>
      </c>
      <c r="Q28" s="193" t="s">
        <v>325</v>
      </c>
    </row>
    <row r="29" spans="1:17">
      <c r="A29" s="186"/>
      <c r="B29" s="191"/>
      <c r="C29" s="189"/>
      <c r="D29" s="189"/>
      <c r="E29" s="192"/>
      <c r="F29" s="199"/>
      <c r="H29" s="187"/>
      <c r="J29" s="186">
        <v>11</v>
      </c>
      <c r="K29" s="191">
        <v>45842</v>
      </c>
      <c r="L29" s="189" t="s">
        <v>426</v>
      </c>
      <c r="M29" s="189" t="s">
        <v>437</v>
      </c>
      <c r="N29" s="192">
        <v>3000</v>
      </c>
      <c r="O29" s="199" t="s">
        <v>425</v>
      </c>
      <c r="P29">
        <v>0</v>
      </c>
      <c r="Q29" s="193" t="s">
        <v>414</v>
      </c>
    </row>
    <row r="30" spans="1:17">
      <c r="A30" s="186"/>
      <c r="B30" s="191"/>
      <c r="C30" s="189"/>
      <c r="D30" s="189"/>
      <c r="E30" s="192"/>
      <c r="F30" s="192"/>
      <c r="H30" s="187"/>
      <c r="J30" s="186"/>
      <c r="K30" s="191"/>
      <c r="L30" s="189"/>
      <c r="M30" s="189"/>
      <c r="N30" s="192"/>
      <c r="O30" s="192"/>
      <c r="Q30" s="187"/>
    </row>
    <row r="31" spans="1:17">
      <c r="A31" s="194"/>
      <c r="B31" s="201"/>
      <c r="C31" s="196"/>
      <c r="D31" s="196"/>
      <c r="E31" s="192"/>
      <c r="F31" s="202"/>
      <c r="G31" s="195"/>
      <c r="H31" s="198"/>
      <c r="J31" s="194"/>
      <c r="K31" s="201"/>
      <c r="L31" s="196"/>
      <c r="M31" s="196"/>
      <c r="N31" s="192"/>
      <c r="O31" s="202"/>
      <c r="P31" s="195"/>
      <c r="Q31" s="198"/>
    </row>
    <row r="32" spans="1:17">
      <c r="A32" s="286" t="s">
        <v>448</v>
      </c>
      <c r="B32" s="287"/>
      <c r="C32" s="287"/>
      <c r="D32" s="287"/>
      <c r="E32" s="287"/>
      <c r="F32" s="287"/>
      <c r="G32" s="287"/>
      <c r="H32" s="185"/>
      <c r="J32" s="286" t="s">
        <v>488</v>
      </c>
      <c r="K32" s="287"/>
      <c r="L32" s="287"/>
      <c r="M32" s="287"/>
      <c r="N32" s="287"/>
      <c r="O32" s="287"/>
      <c r="P32" s="287"/>
      <c r="Q32" s="187"/>
    </row>
    <row r="33" spans="1:17">
      <c r="A33" s="186"/>
      <c r="H33" s="187"/>
      <c r="J33" s="186"/>
      <c r="Q33" s="187"/>
    </row>
    <row r="34" spans="1:17">
      <c r="A34" s="188" t="s">
        <v>3</v>
      </c>
      <c r="B34" s="189" t="s">
        <v>105</v>
      </c>
      <c r="C34" s="189" t="s">
        <v>406</v>
      </c>
      <c r="D34" s="189" t="s">
        <v>11</v>
      </c>
      <c r="E34" s="189" t="s">
        <v>408</v>
      </c>
      <c r="F34" s="189" t="s">
        <v>417</v>
      </c>
      <c r="G34" s="189" t="s">
        <v>416</v>
      </c>
      <c r="H34" s="190" t="s">
        <v>13</v>
      </c>
      <c r="J34" s="188" t="s">
        <v>3</v>
      </c>
      <c r="K34" s="189" t="s">
        <v>105</v>
      </c>
      <c r="L34" s="189" t="s">
        <v>406</v>
      </c>
      <c r="M34" s="189" t="s">
        <v>11</v>
      </c>
      <c r="N34" s="189" t="s">
        <v>408</v>
      </c>
      <c r="O34" s="189" t="s">
        <v>417</v>
      </c>
      <c r="P34" s="189" t="s">
        <v>416</v>
      </c>
      <c r="Q34" s="190" t="s">
        <v>13</v>
      </c>
    </row>
    <row r="35" spans="1:17">
      <c r="A35" s="186">
        <v>15</v>
      </c>
      <c r="B35" s="191">
        <v>45842</v>
      </c>
      <c r="C35" s="189" t="s">
        <v>426</v>
      </c>
      <c r="D35" s="189" t="s">
        <v>437</v>
      </c>
      <c r="E35" s="192">
        <v>1500</v>
      </c>
      <c r="F35" s="199" t="s">
        <v>425</v>
      </c>
      <c r="G35">
        <v>0</v>
      </c>
      <c r="H35" s="193" t="s">
        <v>414</v>
      </c>
      <c r="J35" s="186">
        <v>13</v>
      </c>
      <c r="K35" s="191">
        <v>45847</v>
      </c>
      <c r="L35" s="189" t="s">
        <v>491</v>
      </c>
      <c r="M35" s="189" t="s">
        <v>439</v>
      </c>
      <c r="N35" s="192">
        <v>-155.34</v>
      </c>
      <c r="O35" s="199" t="s">
        <v>418</v>
      </c>
      <c r="P35">
        <v>14497</v>
      </c>
      <c r="Q35" s="193" t="s">
        <v>325</v>
      </c>
    </row>
    <row r="36" spans="1:17">
      <c r="A36" s="186"/>
      <c r="B36" s="191"/>
      <c r="C36" s="189"/>
      <c r="D36" s="189"/>
      <c r="E36" s="192"/>
      <c r="F36" s="199"/>
      <c r="H36" s="187"/>
      <c r="J36" s="186"/>
      <c r="K36" s="191"/>
      <c r="N36" s="192"/>
      <c r="O36" s="192"/>
      <c r="Q36" s="187"/>
    </row>
    <row r="37" spans="1:17">
      <c r="A37" s="186"/>
      <c r="B37" s="191"/>
      <c r="C37" s="189"/>
      <c r="D37" s="189"/>
      <c r="E37" s="192"/>
      <c r="F37" s="199"/>
      <c r="H37" s="187"/>
      <c r="J37" s="186"/>
      <c r="K37" s="191"/>
      <c r="N37" s="192"/>
      <c r="O37" s="192"/>
      <c r="Q37" s="187"/>
    </row>
    <row r="38" spans="1:17">
      <c r="A38" s="186"/>
      <c r="B38" s="191"/>
      <c r="C38" s="189"/>
      <c r="D38" s="189"/>
      <c r="E38" s="192"/>
      <c r="F38" s="199"/>
      <c r="H38" s="187"/>
      <c r="J38" s="194"/>
      <c r="K38" s="195"/>
      <c r="L38" s="196"/>
      <c r="M38" s="196"/>
      <c r="N38" s="192"/>
      <c r="O38" s="197"/>
      <c r="P38" s="195"/>
      <c r="Q38" s="198"/>
    </row>
    <row r="39" spans="1:17">
      <c r="A39" s="286" t="s">
        <v>481</v>
      </c>
      <c r="B39" s="287"/>
      <c r="C39" s="287"/>
      <c r="D39" s="287"/>
      <c r="E39" s="287"/>
      <c r="F39" s="287"/>
      <c r="G39" s="287"/>
      <c r="H39" s="185"/>
      <c r="J39" s="286" t="s">
        <v>543</v>
      </c>
      <c r="K39" s="287"/>
      <c r="L39" s="287"/>
      <c r="M39" s="287"/>
      <c r="N39" s="287"/>
      <c r="O39" s="287"/>
      <c r="P39" s="287"/>
      <c r="Q39" s="187"/>
    </row>
    <row r="40" spans="1:17">
      <c r="A40" s="186"/>
      <c r="H40" s="187"/>
      <c r="J40" s="186"/>
      <c r="Q40" s="187"/>
    </row>
    <row r="41" spans="1:17">
      <c r="A41" s="188" t="s">
        <v>3</v>
      </c>
      <c r="B41" s="189" t="s">
        <v>105</v>
      </c>
      <c r="C41" s="189" t="s">
        <v>406</v>
      </c>
      <c r="D41" s="189" t="s">
        <v>11</v>
      </c>
      <c r="E41" s="189" t="s">
        <v>408</v>
      </c>
      <c r="F41" s="189" t="s">
        <v>417</v>
      </c>
      <c r="G41" s="189" t="s">
        <v>416</v>
      </c>
      <c r="H41" s="190" t="s">
        <v>13</v>
      </c>
      <c r="J41" s="188" t="s">
        <v>3</v>
      </c>
      <c r="K41" s="189" t="s">
        <v>105</v>
      </c>
      <c r="L41" s="189" t="s">
        <v>406</v>
      </c>
      <c r="M41" s="189" t="s">
        <v>11</v>
      </c>
      <c r="N41" s="189" t="s">
        <v>408</v>
      </c>
      <c r="O41" s="189" t="s">
        <v>417</v>
      </c>
      <c r="P41" s="189" t="s">
        <v>416</v>
      </c>
      <c r="Q41" s="190" t="s">
        <v>13</v>
      </c>
    </row>
    <row r="42" spans="1:17">
      <c r="A42" s="186">
        <v>16</v>
      </c>
      <c r="B42" s="200">
        <v>45846</v>
      </c>
      <c r="C42" s="189" t="s">
        <v>482</v>
      </c>
      <c r="D42" s="189" t="s">
        <v>45</v>
      </c>
      <c r="E42" s="192">
        <v>-257.45999999999998</v>
      </c>
      <c r="F42" s="199" t="s">
        <v>407</v>
      </c>
      <c r="G42" s="189">
        <v>61578026</v>
      </c>
      <c r="H42" s="193" t="s">
        <v>325</v>
      </c>
      <c r="J42" s="186">
        <v>14</v>
      </c>
      <c r="K42" s="191">
        <v>45863</v>
      </c>
      <c r="L42" s="189" t="s">
        <v>544</v>
      </c>
      <c r="M42" s="189" t="s">
        <v>299</v>
      </c>
      <c r="N42" s="192">
        <v>-246.8</v>
      </c>
      <c r="O42" s="199" t="s">
        <v>407</v>
      </c>
      <c r="P42">
        <v>117397</v>
      </c>
      <c r="Q42" s="193" t="s">
        <v>325</v>
      </c>
    </row>
    <row r="43" spans="1:17">
      <c r="A43" s="186">
        <v>17</v>
      </c>
      <c r="B43" s="191">
        <v>45848</v>
      </c>
      <c r="C43" s="189" t="s">
        <v>442</v>
      </c>
      <c r="D43" s="189" t="s">
        <v>439</v>
      </c>
      <c r="E43" s="192">
        <v>-1723.92</v>
      </c>
      <c r="F43" s="199" t="s">
        <v>418</v>
      </c>
      <c r="G43">
        <v>14511</v>
      </c>
      <c r="H43" s="193" t="s">
        <v>325</v>
      </c>
      <c r="J43" s="186">
        <v>15</v>
      </c>
      <c r="K43" s="191">
        <v>45863</v>
      </c>
      <c r="L43" s="189" t="s">
        <v>545</v>
      </c>
      <c r="M43" s="189" t="s">
        <v>299</v>
      </c>
      <c r="N43" s="192">
        <v>-175.86</v>
      </c>
      <c r="O43" s="199" t="s">
        <v>407</v>
      </c>
      <c r="P43">
        <v>118179</v>
      </c>
      <c r="Q43" s="193" t="s">
        <v>325</v>
      </c>
    </row>
    <row r="44" spans="1:17">
      <c r="A44" s="186">
        <v>18</v>
      </c>
      <c r="B44" s="191">
        <v>45848</v>
      </c>
      <c r="C44" s="189" t="s">
        <v>486</v>
      </c>
      <c r="D44" s="189" t="s">
        <v>423</v>
      </c>
      <c r="E44" s="192">
        <v>-171.26</v>
      </c>
      <c r="F44" s="199" t="s">
        <v>417</v>
      </c>
      <c r="G44">
        <v>4598</v>
      </c>
      <c r="H44" s="193" t="s">
        <v>325</v>
      </c>
      <c r="J44" s="186">
        <v>16</v>
      </c>
      <c r="K44" s="191">
        <v>45864</v>
      </c>
      <c r="L44" s="189" t="s">
        <v>550</v>
      </c>
      <c r="M44" s="189" t="s">
        <v>551</v>
      </c>
      <c r="N44" s="192">
        <v>-115</v>
      </c>
      <c r="O44" s="199" t="s">
        <v>418</v>
      </c>
      <c r="P44">
        <v>90485</v>
      </c>
      <c r="Q44" s="193" t="s">
        <v>325</v>
      </c>
    </row>
    <row r="45" spans="1:17">
      <c r="A45" s="186">
        <v>19</v>
      </c>
      <c r="B45" s="191">
        <v>45849</v>
      </c>
      <c r="C45" s="189" t="s">
        <v>426</v>
      </c>
      <c r="D45" s="189" t="s">
        <v>437</v>
      </c>
      <c r="E45" s="192">
        <v>3000</v>
      </c>
      <c r="F45" s="199" t="s">
        <v>425</v>
      </c>
      <c r="G45">
        <v>0</v>
      </c>
      <c r="H45" s="193" t="s">
        <v>414</v>
      </c>
      <c r="J45" s="186">
        <v>17</v>
      </c>
      <c r="K45" s="191">
        <v>45866</v>
      </c>
      <c r="L45" s="189" t="s">
        <v>549</v>
      </c>
      <c r="M45" s="189" t="s">
        <v>499</v>
      </c>
      <c r="N45" s="192">
        <v>-359.7</v>
      </c>
      <c r="O45" s="199" t="s">
        <v>418</v>
      </c>
      <c r="P45">
        <v>7058603</v>
      </c>
      <c r="Q45" s="193" t="s">
        <v>325</v>
      </c>
    </row>
    <row r="46" spans="1:17">
      <c r="A46" s="186"/>
      <c r="B46" s="191"/>
      <c r="C46" s="189"/>
      <c r="D46" s="189"/>
      <c r="E46" s="192"/>
      <c r="F46" s="199"/>
      <c r="H46" s="187"/>
      <c r="J46" s="186"/>
      <c r="K46" s="191"/>
      <c r="N46" s="192"/>
      <c r="O46" s="192"/>
      <c r="Q46" s="187"/>
    </row>
    <row r="47" spans="1:17">
      <c r="A47" s="186"/>
      <c r="B47" s="191"/>
      <c r="C47" s="189"/>
      <c r="D47" s="189"/>
      <c r="E47" s="192"/>
      <c r="F47" s="192"/>
      <c r="H47" s="187"/>
      <c r="J47" s="186"/>
      <c r="K47" s="191"/>
      <c r="N47" s="192"/>
      <c r="O47" s="192"/>
      <c r="Q47" s="187"/>
    </row>
    <row r="48" spans="1:17">
      <c r="A48" s="194"/>
      <c r="B48" s="201"/>
      <c r="C48" s="196"/>
      <c r="D48" s="196"/>
      <c r="E48" s="192"/>
      <c r="F48" s="202"/>
      <c r="G48" s="195"/>
      <c r="H48" s="198"/>
      <c r="J48" s="194"/>
      <c r="K48" s="195"/>
      <c r="L48" s="196"/>
      <c r="M48" s="196"/>
      <c r="N48" s="192"/>
      <c r="O48" s="197"/>
      <c r="P48" s="195"/>
      <c r="Q48" s="198"/>
    </row>
    <row r="49" spans="1:17">
      <c r="A49" s="286" t="s">
        <v>492</v>
      </c>
      <c r="B49" s="287"/>
      <c r="C49" s="287"/>
      <c r="D49" s="287"/>
      <c r="E49" s="287"/>
      <c r="F49" s="287"/>
      <c r="G49" s="287"/>
      <c r="H49" s="185"/>
      <c r="J49" s="286" t="s">
        <v>543</v>
      </c>
      <c r="K49" s="287"/>
      <c r="L49" s="287"/>
      <c r="M49" s="287"/>
      <c r="N49" s="287"/>
      <c r="O49" s="287"/>
      <c r="P49" s="287"/>
      <c r="Q49" s="187"/>
    </row>
    <row r="50" spans="1:17">
      <c r="A50" s="186"/>
      <c r="H50" s="187"/>
      <c r="J50" s="186"/>
      <c r="Q50" s="187"/>
    </row>
    <row r="51" spans="1:17">
      <c r="A51" s="188" t="s">
        <v>3</v>
      </c>
      <c r="B51" s="189" t="s">
        <v>105</v>
      </c>
      <c r="C51" s="189" t="s">
        <v>406</v>
      </c>
      <c r="D51" s="189" t="s">
        <v>11</v>
      </c>
      <c r="E51" s="189" t="s">
        <v>408</v>
      </c>
      <c r="F51" s="189" t="s">
        <v>417</v>
      </c>
      <c r="G51" s="189" t="s">
        <v>416</v>
      </c>
      <c r="H51" s="190" t="s">
        <v>13</v>
      </c>
      <c r="J51" s="188" t="s">
        <v>3</v>
      </c>
      <c r="K51" s="189" t="s">
        <v>105</v>
      </c>
      <c r="L51" s="189" t="s">
        <v>406</v>
      </c>
      <c r="M51" s="189" t="s">
        <v>11</v>
      </c>
      <c r="N51" s="189" t="s">
        <v>408</v>
      </c>
      <c r="O51" s="189" t="s">
        <v>417</v>
      </c>
      <c r="P51" s="189" t="s">
        <v>416</v>
      </c>
      <c r="Q51" s="190" t="s">
        <v>13</v>
      </c>
    </row>
    <row r="52" spans="1:17">
      <c r="A52" s="186">
        <v>20</v>
      </c>
      <c r="B52" s="191">
        <v>45849</v>
      </c>
      <c r="C52" s="189" t="s">
        <v>485</v>
      </c>
      <c r="D52" s="224" t="s">
        <v>439</v>
      </c>
      <c r="E52" s="192">
        <v>-2120.81</v>
      </c>
      <c r="F52" s="199" t="s">
        <v>407</v>
      </c>
      <c r="G52">
        <v>80227</v>
      </c>
      <c r="H52" s="193" t="s">
        <v>325</v>
      </c>
      <c r="J52" s="186">
        <v>18</v>
      </c>
      <c r="K52" s="191">
        <v>45877</v>
      </c>
      <c r="L52" s="189" t="s">
        <v>558</v>
      </c>
      <c r="M52" s="189" t="s">
        <v>441</v>
      </c>
      <c r="N52" s="192">
        <v>-25.5</v>
      </c>
      <c r="O52" s="199" t="s">
        <v>418</v>
      </c>
      <c r="P52">
        <v>20533</v>
      </c>
      <c r="Q52" s="193" t="s">
        <v>325</v>
      </c>
    </row>
    <row r="53" spans="1:17">
      <c r="A53" s="186"/>
      <c r="B53" s="191"/>
      <c r="C53" s="189"/>
      <c r="D53" s="189"/>
      <c r="E53" s="192"/>
      <c r="F53" s="199"/>
      <c r="H53" s="187"/>
      <c r="J53" s="186">
        <v>19</v>
      </c>
      <c r="K53" s="191">
        <v>45876</v>
      </c>
      <c r="L53" s="189" t="s">
        <v>560</v>
      </c>
      <c r="M53" s="189" t="s">
        <v>559</v>
      </c>
      <c r="N53" s="192">
        <v>-38</v>
      </c>
      <c r="O53" s="199" t="s">
        <v>418</v>
      </c>
      <c r="P53">
        <v>488554</v>
      </c>
      <c r="Q53" s="193" t="s">
        <v>325</v>
      </c>
    </row>
    <row r="54" spans="1:17">
      <c r="A54" s="186"/>
      <c r="B54" s="191"/>
      <c r="C54" s="189"/>
      <c r="D54" s="189"/>
      <c r="E54" s="192"/>
      <c r="F54" s="199"/>
      <c r="H54" s="187"/>
      <c r="J54" s="186">
        <v>20</v>
      </c>
      <c r="K54" s="191">
        <v>45876</v>
      </c>
      <c r="L54" s="189" t="s">
        <v>561</v>
      </c>
      <c r="M54" s="189" t="s">
        <v>441</v>
      </c>
      <c r="N54" s="192">
        <v>-80.16</v>
      </c>
      <c r="O54" s="199" t="s">
        <v>418</v>
      </c>
      <c r="P54">
        <v>20457</v>
      </c>
      <c r="Q54" s="193" t="s">
        <v>325</v>
      </c>
    </row>
    <row r="55" spans="1:17">
      <c r="A55" s="194"/>
      <c r="B55" s="201"/>
      <c r="C55" s="196"/>
      <c r="D55" s="196"/>
      <c r="E55" s="192"/>
      <c r="F55" s="202"/>
      <c r="G55" s="195"/>
      <c r="H55" s="198"/>
      <c r="J55" s="186">
        <v>21</v>
      </c>
      <c r="K55" s="191">
        <v>45876</v>
      </c>
      <c r="L55" s="189" t="s">
        <v>461</v>
      </c>
      <c r="M55" s="189" t="s">
        <v>562</v>
      </c>
      <c r="N55" s="192">
        <v>-33.07</v>
      </c>
      <c r="O55" s="199" t="s">
        <v>418</v>
      </c>
      <c r="P55">
        <v>101242</v>
      </c>
      <c r="Q55" s="193" t="s">
        <v>325</v>
      </c>
    </row>
    <row r="56" spans="1:17">
      <c r="A56" s="286" t="s">
        <v>511</v>
      </c>
      <c r="B56" s="287"/>
      <c r="C56" s="287"/>
      <c r="D56" s="287"/>
      <c r="E56" s="287"/>
      <c r="F56" s="287"/>
      <c r="G56" s="287"/>
      <c r="H56" s="185"/>
      <c r="J56" s="186">
        <v>22</v>
      </c>
      <c r="K56" s="191">
        <v>45875</v>
      </c>
      <c r="L56" s="224" t="s">
        <v>608</v>
      </c>
      <c r="M56" s="189" t="s">
        <v>563</v>
      </c>
      <c r="N56" s="192">
        <v>-77.099999999999994</v>
      </c>
      <c r="O56" s="226" t="s">
        <v>407</v>
      </c>
      <c r="P56">
        <v>7666</v>
      </c>
      <c r="Q56" s="193" t="s">
        <v>325</v>
      </c>
    </row>
    <row r="57" spans="1:17">
      <c r="A57" s="186"/>
      <c r="H57" s="187"/>
      <c r="J57" s="186">
        <v>23</v>
      </c>
      <c r="K57" s="191">
        <v>45874</v>
      </c>
      <c r="L57" s="189" t="s">
        <v>561</v>
      </c>
      <c r="M57" s="189" t="s">
        <v>441</v>
      </c>
      <c r="N57" s="192">
        <v>-182.94</v>
      </c>
      <c r="O57" s="199" t="s">
        <v>418</v>
      </c>
      <c r="P57">
        <v>108489</v>
      </c>
      <c r="Q57" s="193" t="s">
        <v>325</v>
      </c>
    </row>
    <row r="58" spans="1:17">
      <c r="A58" s="188" t="s">
        <v>3</v>
      </c>
      <c r="B58" s="189" t="s">
        <v>105</v>
      </c>
      <c r="C58" s="189" t="s">
        <v>406</v>
      </c>
      <c r="D58" s="189" t="s">
        <v>11</v>
      </c>
      <c r="E58" s="189" t="s">
        <v>408</v>
      </c>
      <c r="F58" s="189" t="s">
        <v>417</v>
      </c>
      <c r="G58" s="189" t="s">
        <v>416</v>
      </c>
      <c r="H58" s="190" t="s">
        <v>13</v>
      </c>
      <c r="J58" s="186"/>
      <c r="K58" s="191"/>
      <c r="N58" s="192"/>
      <c r="O58" s="192"/>
      <c r="Q58" s="187"/>
    </row>
    <row r="59" spans="1:17">
      <c r="A59" s="186">
        <v>21</v>
      </c>
      <c r="B59" s="191">
        <v>45856</v>
      </c>
      <c r="C59" s="189" t="s">
        <v>509</v>
      </c>
      <c r="D59" s="189" t="s">
        <v>508</v>
      </c>
      <c r="E59" s="192">
        <v>-315.95999999999998</v>
      </c>
      <c r="F59" s="199" t="s">
        <v>407</v>
      </c>
      <c r="G59">
        <v>29847</v>
      </c>
      <c r="H59" s="193" t="s">
        <v>325</v>
      </c>
      <c r="J59" s="186"/>
      <c r="K59" s="191"/>
      <c r="N59" s="192"/>
      <c r="O59" s="192"/>
      <c r="Q59" s="187"/>
    </row>
    <row r="60" spans="1:17">
      <c r="A60" s="186">
        <v>22</v>
      </c>
      <c r="B60" s="191">
        <v>45853</v>
      </c>
      <c r="C60" s="189" t="s">
        <v>512</v>
      </c>
      <c r="D60" s="189" t="s">
        <v>510</v>
      </c>
      <c r="E60" s="192">
        <v>-350</v>
      </c>
      <c r="F60" s="199" t="s">
        <v>407</v>
      </c>
      <c r="G60">
        <v>23354</v>
      </c>
      <c r="H60" s="193" t="s">
        <v>325</v>
      </c>
      <c r="J60" s="186"/>
      <c r="K60" s="191"/>
      <c r="N60" s="192"/>
      <c r="O60" s="192"/>
      <c r="Q60" s="187"/>
    </row>
    <row r="61" spans="1:17">
      <c r="A61" s="186">
        <v>23</v>
      </c>
      <c r="B61" s="191">
        <v>45855</v>
      </c>
      <c r="C61" s="189" t="s">
        <v>546</v>
      </c>
      <c r="D61" s="189" t="s">
        <v>510</v>
      </c>
      <c r="E61" s="192">
        <v>-138.9</v>
      </c>
      <c r="F61" s="199" t="s">
        <v>407</v>
      </c>
      <c r="G61">
        <v>23407</v>
      </c>
      <c r="H61" s="193" t="s">
        <v>325</v>
      </c>
      <c r="J61" s="186"/>
      <c r="K61" s="191"/>
      <c r="N61" s="192"/>
      <c r="O61" s="192"/>
      <c r="Q61" s="187"/>
    </row>
    <row r="62" spans="1:17">
      <c r="A62" s="186">
        <v>24</v>
      </c>
      <c r="B62" s="191">
        <v>45856</v>
      </c>
      <c r="C62" s="189" t="s">
        <v>485</v>
      </c>
      <c r="D62" s="189" t="s">
        <v>510</v>
      </c>
      <c r="E62" s="192">
        <v>-1018</v>
      </c>
      <c r="F62" s="199" t="s">
        <v>407</v>
      </c>
      <c r="G62">
        <v>23444</v>
      </c>
      <c r="H62" s="193" t="s">
        <v>325</v>
      </c>
      <c r="J62" s="186"/>
      <c r="K62" s="191"/>
      <c r="N62" s="192"/>
      <c r="O62" s="192"/>
      <c r="Q62" s="187"/>
    </row>
    <row r="63" spans="1:17">
      <c r="A63" s="186"/>
      <c r="B63" s="191"/>
      <c r="C63" s="189"/>
      <c r="D63" s="189"/>
      <c r="E63" s="192"/>
      <c r="F63" s="199"/>
      <c r="H63" s="187"/>
      <c r="J63" s="186"/>
      <c r="K63" s="191"/>
      <c r="N63" s="192"/>
      <c r="O63" s="192"/>
      <c r="Q63" s="187"/>
    </row>
    <row r="64" spans="1:17">
      <c r="A64" s="186"/>
      <c r="B64" s="191"/>
      <c r="C64" s="189"/>
      <c r="D64" s="189"/>
      <c r="E64" s="192"/>
      <c r="F64" s="192"/>
      <c r="H64" s="187"/>
      <c r="J64" s="186"/>
      <c r="K64" s="191"/>
      <c r="N64" s="192"/>
      <c r="O64" s="192"/>
      <c r="Q64" s="187"/>
    </row>
    <row r="65" spans="1:17">
      <c r="A65" s="194"/>
      <c r="B65" s="201"/>
      <c r="C65" s="196"/>
      <c r="D65" s="196"/>
      <c r="E65" s="192"/>
      <c r="F65" s="202"/>
      <c r="G65" s="195"/>
      <c r="H65" s="198"/>
      <c r="J65" s="194"/>
      <c r="K65" s="195"/>
      <c r="L65" s="196"/>
      <c r="M65" s="196"/>
      <c r="N65" s="192"/>
      <c r="O65" s="197"/>
      <c r="P65" s="195"/>
      <c r="Q65" s="198"/>
    </row>
    <row r="66" spans="1:17">
      <c r="A66" s="286" t="s">
        <v>542</v>
      </c>
      <c r="B66" s="287"/>
      <c r="C66" s="287"/>
      <c r="D66" s="287"/>
      <c r="E66" s="287"/>
      <c r="F66" s="287"/>
      <c r="G66" s="287"/>
      <c r="H66" s="185"/>
      <c r="J66" s="288" t="s">
        <v>601</v>
      </c>
      <c r="K66" s="287"/>
      <c r="L66" s="287"/>
      <c r="M66" s="287"/>
      <c r="N66" s="287"/>
      <c r="O66" s="287"/>
      <c r="P66" s="287"/>
      <c r="Q66" s="187"/>
    </row>
    <row r="67" spans="1:17">
      <c r="A67" s="186"/>
      <c r="H67" s="187"/>
      <c r="J67" s="186"/>
      <c r="Q67" s="187"/>
    </row>
    <row r="68" spans="1:17">
      <c r="A68" s="188" t="s">
        <v>3</v>
      </c>
      <c r="B68" s="189" t="s">
        <v>105</v>
      </c>
      <c r="C68" s="189" t="s">
        <v>406</v>
      </c>
      <c r="D68" s="189" t="s">
        <v>11</v>
      </c>
      <c r="E68" s="189" t="s">
        <v>408</v>
      </c>
      <c r="F68" s="189" t="s">
        <v>417</v>
      </c>
      <c r="G68" s="189" t="s">
        <v>416</v>
      </c>
      <c r="H68" s="190" t="s">
        <v>13</v>
      </c>
      <c r="J68" s="188" t="s">
        <v>3</v>
      </c>
      <c r="K68" s="189" t="s">
        <v>105</v>
      </c>
      <c r="L68" s="189" t="s">
        <v>406</v>
      </c>
      <c r="M68" s="189" t="s">
        <v>11</v>
      </c>
      <c r="N68" s="189" t="s">
        <v>408</v>
      </c>
      <c r="O68" s="189" t="s">
        <v>417</v>
      </c>
      <c r="P68" s="189" t="s">
        <v>416</v>
      </c>
      <c r="Q68" s="190" t="s">
        <v>13</v>
      </c>
    </row>
    <row r="69" spans="1:17">
      <c r="A69" s="186">
        <v>25</v>
      </c>
      <c r="B69" s="191">
        <v>45864</v>
      </c>
      <c r="C69" s="189" t="s">
        <v>552</v>
      </c>
      <c r="D69" s="189" t="s">
        <v>449</v>
      </c>
      <c r="E69" s="192">
        <v>-93</v>
      </c>
      <c r="F69" s="199" t="s">
        <v>418</v>
      </c>
      <c r="G69">
        <v>100523</v>
      </c>
      <c r="H69" s="193" t="s">
        <v>325</v>
      </c>
      <c r="J69" s="215">
        <v>24</v>
      </c>
      <c r="K69" s="216">
        <v>45881</v>
      </c>
      <c r="L69" s="217" t="s">
        <v>602</v>
      </c>
      <c r="M69" s="217" t="s">
        <v>441</v>
      </c>
      <c r="N69" s="218">
        <v>-3305.05</v>
      </c>
      <c r="O69" s="219" t="s">
        <v>407</v>
      </c>
      <c r="P69" s="217" t="s">
        <v>606</v>
      </c>
      <c r="Q69" s="225" t="s">
        <v>607</v>
      </c>
    </row>
    <row r="70" spans="1:17">
      <c r="A70" s="186">
        <v>26</v>
      </c>
      <c r="B70" s="191">
        <v>45866</v>
      </c>
      <c r="C70" s="189" t="s">
        <v>426</v>
      </c>
      <c r="D70" s="189" t="s">
        <v>437</v>
      </c>
      <c r="E70" s="192">
        <v>1500</v>
      </c>
      <c r="F70" s="199" t="s">
        <v>425</v>
      </c>
      <c r="G70">
        <v>0</v>
      </c>
      <c r="H70" s="193" t="s">
        <v>414</v>
      </c>
      <c r="J70" s="186"/>
      <c r="K70" s="191"/>
      <c r="L70" s="189"/>
      <c r="M70" s="189"/>
      <c r="N70" s="189"/>
      <c r="O70" s="189"/>
      <c r="P70" s="189"/>
      <c r="Q70" s="187"/>
    </row>
    <row r="71" spans="1:17">
      <c r="A71" s="186">
        <v>27</v>
      </c>
      <c r="B71" s="191">
        <v>45870</v>
      </c>
      <c r="C71" s="189" t="s">
        <v>547</v>
      </c>
      <c r="D71" s="189" t="s">
        <v>548</v>
      </c>
      <c r="E71" s="192">
        <v>-290.69</v>
      </c>
      <c r="F71" s="199" t="s">
        <v>407</v>
      </c>
      <c r="G71">
        <v>111354</v>
      </c>
      <c r="H71" s="193" t="s">
        <v>325</v>
      </c>
      <c r="J71" s="186"/>
      <c r="K71" s="191"/>
      <c r="L71" s="189"/>
      <c r="M71" s="189"/>
      <c r="N71" s="189"/>
      <c r="O71" s="189"/>
      <c r="P71" s="189"/>
      <c r="Q71" s="187"/>
    </row>
    <row r="72" spans="1:17">
      <c r="A72" s="186">
        <v>28</v>
      </c>
      <c r="B72" s="191">
        <v>45870</v>
      </c>
      <c r="C72" s="189" t="s">
        <v>426</v>
      </c>
      <c r="D72" s="189" t="s">
        <v>437</v>
      </c>
      <c r="E72" s="192">
        <v>3000</v>
      </c>
      <c r="F72" s="199" t="s">
        <v>425</v>
      </c>
      <c r="G72">
        <v>0</v>
      </c>
      <c r="H72" s="193" t="s">
        <v>414</v>
      </c>
      <c r="J72" s="186"/>
      <c r="K72" s="191"/>
      <c r="L72" s="189"/>
      <c r="M72" s="189"/>
      <c r="N72" s="189"/>
      <c r="O72" s="189"/>
      <c r="P72" s="189"/>
      <c r="Q72" s="187"/>
    </row>
    <row r="73" spans="1:17">
      <c r="A73" s="186"/>
      <c r="B73" s="191"/>
      <c r="C73" s="189"/>
      <c r="D73" s="189"/>
      <c r="E73" s="192"/>
      <c r="F73" s="192"/>
      <c r="H73" s="187"/>
      <c r="J73" s="186"/>
      <c r="K73" s="191"/>
      <c r="L73" s="189"/>
      <c r="M73" s="189"/>
      <c r="N73" s="189"/>
      <c r="O73" s="189"/>
      <c r="P73" s="189"/>
      <c r="Q73" s="187"/>
    </row>
    <row r="74" spans="1:17">
      <c r="A74" s="194"/>
      <c r="B74" s="201"/>
      <c r="C74" s="196" t="s">
        <v>424</v>
      </c>
      <c r="D74" s="196"/>
      <c r="E74" s="192"/>
      <c r="F74" s="202"/>
      <c r="G74" s="195"/>
      <c r="H74" s="198"/>
      <c r="J74" s="194"/>
      <c r="K74" s="195"/>
      <c r="L74" s="196" t="s">
        <v>424</v>
      </c>
      <c r="M74" s="196"/>
      <c r="N74" s="207">
        <f>SUM(N5:N72)</f>
        <v>-3301.8900000000003</v>
      </c>
      <c r="O74" s="197"/>
      <c r="P74" s="195"/>
      <c r="Q74" s="198"/>
    </row>
    <row r="75" spans="1:17">
      <c r="A75" s="286" t="s">
        <v>553</v>
      </c>
      <c r="B75" s="287"/>
      <c r="C75" s="287"/>
      <c r="D75" s="287"/>
      <c r="E75" s="287"/>
      <c r="F75" s="287"/>
      <c r="G75" s="287"/>
      <c r="H75" s="185"/>
    </row>
    <row r="76" spans="1:17">
      <c r="A76" s="186"/>
      <c r="H76" s="187"/>
    </row>
    <row r="77" spans="1:17">
      <c r="A77" s="188" t="s">
        <v>3</v>
      </c>
      <c r="B77" s="189" t="s">
        <v>105</v>
      </c>
      <c r="C77" s="189" t="s">
        <v>406</v>
      </c>
      <c r="D77" s="189" t="s">
        <v>11</v>
      </c>
      <c r="E77" s="189" t="s">
        <v>408</v>
      </c>
      <c r="F77" s="189" t="s">
        <v>417</v>
      </c>
      <c r="G77" s="189" t="s">
        <v>416</v>
      </c>
      <c r="H77" s="190" t="s">
        <v>13</v>
      </c>
    </row>
    <row r="78" spans="1:17">
      <c r="A78" s="186">
        <v>29</v>
      </c>
      <c r="B78" s="191">
        <v>45875</v>
      </c>
      <c r="C78" s="189" t="s">
        <v>564</v>
      </c>
      <c r="D78" s="189" t="s">
        <v>440</v>
      </c>
      <c r="E78" s="192">
        <v>-83.5</v>
      </c>
      <c r="F78" s="199" t="s">
        <v>418</v>
      </c>
      <c r="G78">
        <v>18199</v>
      </c>
      <c r="H78" s="193" t="s">
        <v>325</v>
      </c>
    </row>
    <row r="79" spans="1:17">
      <c r="A79" s="186">
        <v>30</v>
      </c>
      <c r="B79" s="191">
        <v>45874</v>
      </c>
      <c r="C79" s="189" t="s">
        <v>565</v>
      </c>
      <c r="D79" s="189" t="s">
        <v>41</v>
      </c>
      <c r="E79" s="192">
        <v>-28.98</v>
      </c>
      <c r="F79" s="199" t="s">
        <v>407</v>
      </c>
      <c r="G79">
        <v>348079</v>
      </c>
      <c r="H79" s="193" t="s">
        <v>325</v>
      </c>
    </row>
    <row r="80" spans="1:17">
      <c r="A80" s="186">
        <v>31</v>
      </c>
      <c r="B80" s="191">
        <v>45874</v>
      </c>
      <c r="C80" s="189" t="s">
        <v>567</v>
      </c>
      <c r="D80" s="189" t="s">
        <v>566</v>
      </c>
      <c r="E80" s="192">
        <v>-163.80000000000001</v>
      </c>
      <c r="F80" s="199" t="s">
        <v>407</v>
      </c>
      <c r="G80">
        <v>1368891</v>
      </c>
      <c r="H80" s="193" t="s">
        <v>325</v>
      </c>
    </row>
    <row r="81" spans="1:8">
      <c r="A81" s="186">
        <v>32</v>
      </c>
      <c r="B81" s="191">
        <v>45874</v>
      </c>
      <c r="C81" s="189" t="s">
        <v>455</v>
      </c>
      <c r="D81" s="189" t="s">
        <v>568</v>
      </c>
      <c r="E81" s="192">
        <v>-11</v>
      </c>
      <c r="F81" s="199" t="s">
        <v>418</v>
      </c>
      <c r="G81">
        <v>524</v>
      </c>
      <c r="H81" s="193" t="s">
        <v>325</v>
      </c>
    </row>
    <row r="82" spans="1:8">
      <c r="A82" s="186">
        <v>33</v>
      </c>
      <c r="B82" s="191">
        <v>45874</v>
      </c>
      <c r="C82" s="189" t="s">
        <v>570</v>
      </c>
      <c r="D82" s="189" t="s">
        <v>569</v>
      </c>
      <c r="E82" s="192">
        <v>-171.6</v>
      </c>
      <c r="F82" s="199" t="s">
        <v>418</v>
      </c>
      <c r="G82">
        <v>485</v>
      </c>
      <c r="H82" s="193" t="s">
        <v>325</v>
      </c>
    </row>
    <row r="83" spans="1:8">
      <c r="A83" s="186">
        <v>34</v>
      </c>
      <c r="B83" s="191">
        <v>45873</v>
      </c>
      <c r="C83" s="189" t="s">
        <v>571</v>
      </c>
      <c r="D83" s="189" t="s">
        <v>298</v>
      </c>
      <c r="E83" s="192">
        <v>-150</v>
      </c>
      <c r="F83" s="199" t="s">
        <v>417</v>
      </c>
      <c r="H83" s="193" t="s">
        <v>325</v>
      </c>
    </row>
    <row r="84" spans="1:8">
      <c r="A84" s="186">
        <v>35</v>
      </c>
      <c r="B84" s="191">
        <v>45873</v>
      </c>
      <c r="C84" s="189" t="s">
        <v>572</v>
      </c>
      <c r="D84" s="189" t="s">
        <v>41</v>
      </c>
      <c r="E84" s="192">
        <v>-89.61</v>
      </c>
      <c r="F84" s="199" t="s">
        <v>407</v>
      </c>
      <c r="G84">
        <v>713792</v>
      </c>
      <c r="H84" s="193" t="s">
        <v>325</v>
      </c>
    </row>
    <row r="85" spans="1:8">
      <c r="A85" s="186">
        <v>36</v>
      </c>
      <c r="B85" s="191">
        <v>45873</v>
      </c>
      <c r="C85" s="189" t="s">
        <v>574</v>
      </c>
      <c r="D85" s="189" t="s">
        <v>573</v>
      </c>
      <c r="E85" s="192">
        <v>-524.94000000000005</v>
      </c>
      <c r="F85" s="199" t="s">
        <v>418</v>
      </c>
      <c r="G85">
        <v>19345</v>
      </c>
      <c r="H85" s="193" t="s">
        <v>325</v>
      </c>
    </row>
    <row r="86" spans="1:8">
      <c r="A86" s="186">
        <v>37</v>
      </c>
      <c r="B86" s="191">
        <v>45871</v>
      </c>
      <c r="C86" s="189" t="s">
        <v>576</v>
      </c>
      <c r="D86" s="189" t="s">
        <v>575</v>
      </c>
      <c r="E86" s="192">
        <v>-857.06</v>
      </c>
      <c r="F86" s="199" t="s">
        <v>418</v>
      </c>
      <c r="G86">
        <v>1587</v>
      </c>
      <c r="H86" s="193" t="s">
        <v>325</v>
      </c>
    </row>
    <row r="87" spans="1:8">
      <c r="A87" s="186">
        <v>38</v>
      </c>
      <c r="B87" s="191">
        <v>45871</v>
      </c>
      <c r="C87" s="189" t="s">
        <v>577</v>
      </c>
      <c r="D87" s="189" t="s">
        <v>45</v>
      </c>
      <c r="E87" s="192">
        <v>-394.25</v>
      </c>
      <c r="F87" s="199" t="s">
        <v>407</v>
      </c>
      <c r="G87">
        <v>113065</v>
      </c>
      <c r="H87" s="193" t="s">
        <v>325</v>
      </c>
    </row>
    <row r="88" spans="1:8">
      <c r="A88" s="186">
        <v>39</v>
      </c>
      <c r="B88" s="191">
        <v>45871</v>
      </c>
      <c r="C88" s="189" t="s">
        <v>577</v>
      </c>
      <c r="D88" s="189" t="s">
        <v>45</v>
      </c>
      <c r="E88" s="192">
        <v>-394.25</v>
      </c>
      <c r="F88" s="199" t="s">
        <v>407</v>
      </c>
      <c r="G88">
        <v>113066</v>
      </c>
      <c r="H88" s="193" t="s">
        <v>325</v>
      </c>
    </row>
    <row r="89" spans="1:8">
      <c r="A89" s="186">
        <v>40</v>
      </c>
      <c r="B89" s="191">
        <v>45871</v>
      </c>
      <c r="C89" s="189" t="s">
        <v>578</v>
      </c>
      <c r="D89" s="189" t="s">
        <v>441</v>
      </c>
      <c r="E89" s="192">
        <v>-107.66</v>
      </c>
      <c r="F89" s="199" t="s">
        <v>418</v>
      </c>
      <c r="G89">
        <v>256708</v>
      </c>
      <c r="H89" s="193" t="s">
        <v>325</v>
      </c>
    </row>
    <row r="90" spans="1:8">
      <c r="A90" s="186">
        <v>41</v>
      </c>
      <c r="B90" s="191">
        <v>45871</v>
      </c>
      <c r="C90" s="189" t="s">
        <v>579</v>
      </c>
      <c r="D90" s="189" t="s">
        <v>449</v>
      </c>
      <c r="E90" s="192">
        <v>-848.19</v>
      </c>
      <c r="F90" s="199" t="s">
        <v>407</v>
      </c>
      <c r="G90">
        <v>407717</v>
      </c>
      <c r="H90" s="193" t="s">
        <v>325</v>
      </c>
    </row>
    <row r="91" spans="1:8">
      <c r="A91" s="215">
        <v>42</v>
      </c>
      <c r="B91" s="216">
        <v>45881</v>
      </c>
      <c r="C91" s="217" t="s">
        <v>598</v>
      </c>
      <c r="D91" s="217" t="s">
        <v>508</v>
      </c>
      <c r="E91" s="218">
        <v>-4119.99</v>
      </c>
      <c r="F91" s="219" t="s">
        <v>407</v>
      </c>
      <c r="G91" s="217" t="s">
        <v>606</v>
      </c>
      <c r="H91" s="225" t="s">
        <v>607</v>
      </c>
    </row>
    <row r="92" spans="1:8">
      <c r="A92" s="215">
        <v>43</v>
      </c>
      <c r="B92" s="216">
        <v>45881</v>
      </c>
      <c r="C92" s="217" t="s">
        <v>599</v>
      </c>
      <c r="D92" s="217" t="s">
        <v>600</v>
      </c>
      <c r="E92" s="218">
        <v>-2970</v>
      </c>
      <c r="F92" s="219" t="s">
        <v>407</v>
      </c>
      <c r="G92" s="217" t="s">
        <v>606</v>
      </c>
      <c r="H92" s="225" t="s">
        <v>607</v>
      </c>
    </row>
    <row r="93" spans="1:8">
      <c r="A93" s="215">
        <v>44</v>
      </c>
      <c r="B93" s="216">
        <v>45882</v>
      </c>
      <c r="C93" s="217" t="s">
        <v>605</v>
      </c>
      <c r="D93" s="217" t="s">
        <v>439</v>
      </c>
      <c r="E93" s="218">
        <v>-134.97999999999999</v>
      </c>
      <c r="F93" s="219" t="s">
        <v>407</v>
      </c>
      <c r="G93" s="220">
        <v>1265</v>
      </c>
      <c r="H93" s="225" t="s">
        <v>607</v>
      </c>
    </row>
    <row r="94" spans="1:8">
      <c r="A94" s="186"/>
      <c r="B94" s="191"/>
      <c r="C94" s="189"/>
      <c r="D94" s="189"/>
      <c r="E94" s="192"/>
      <c r="F94" s="192"/>
      <c r="H94" s="187"/>
    </row>
    <row r="95" spans="1:8">
      <c r="A95" s="194"/>
      <c r="B95" s="201"/>
      <c r="C95" s="196" t="s">
        <v>424</v>
      </c>
      <c r="D95" s="196"/>
      <c r="E95" s="207">
        <f>SUM(E5:E94)</f>
        <v>-7224.4800000000005</v>
      </c>
      <c r="F95" s="202"/>
      <c r="G95" s="195"/>
      <c r="H95" s="198"/>
    </row>
  </sheetData>
  <mergeCells count="16">
    <mergeCell ref="A2:G2"/>
    <mergeCell ref="J2:P2"/>
    <mergeCell ref="A11:G11"/>
    <mergeCell ref="J11:P11"/>
    <mergeCell ref="A39:G39"/>
    <mergeCell ref="J32:P32"/>
    <mergeCell ref="A32:G32"/>
    <mergeCell ref="J21:P21"/>
    <mergeCell ref="A21:G21"/>
    <mergeCell ref="A66:G66"/>
    <mergeCell ref="J39:P39"/>
    <mergeCell ref="A75:G75"/>
    <mergeCell ref="J49:P49"/>
    <mergeCell ref="A56:G56"/>
    <mergeCell ref="A49:G49"/>
    <mergeCell ref="J66:P66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workbookViewId="0">
      <selection activeCell="C12" sqref="C12"/>
    </sheetView>
  </sheetViews>
  <sheetFormatPr defaultColWidth="9" defaultRowHeight="15"/>
  <cols>
    <col min="1" max="2" width="14.85546875" customWidth="1"/>
    <col min="3" max="3" width="74.42578125" customWidth="1"/>
    <col min="4" max="5" width="13.42578125" style="4" customWidth="1"/>
    <col min="6" max="6" width="16.42578125" style="5" customWidth="1"/>
    <col min="7" max="7" width="12.42578125" style="5" customWidth="1"/>
    <col min="8" max="8" width="16.28515625" style="5" customWidth="1"/>
    <col min="9" max="9" width="13.85546875" style="5" customWidth="1"/>
  </cols>
  <sheetData>
    <row r="1" spans="1:9" ht="15" customHeight="1">
      <c r="D1" s="293" t="s">
        <v>101</v>
      </c>
      <c r="E1" s="293"/>
      <c r="F1" s="293"/>
      <c r="G1" s="293"/>
      <c r="H1" s="293"/>
      <c r="I1" s="293"/>
    </row>
    <row r="2" spans="1:9" ht="15" customHeight="1">
      <c r="D2" s="293"/>
      <c r="E2" s="293"/>
      <c r="F2" s="293"/>
      <c r="G2" s="293"/>
      <c r="H2" s="293"/>
      <c r="I2" s="293"/>
    </row>
    <row r="3" spans="1:9" ht="15" customHeight="1">
      <c r="D3" s="293"/>
      <c r="E3" s="293"/>
      <c r="F3" s="293"/>
      <c r="G3" s="293"/>
      <c r="H3" s="293"/>
      <c r="I3" s="293"/>
    </row>
    <row r="4" spans="1:9" ht="15" customHeight="1">
      <c r="D4" s="293"/>
      <c r="E4" s="293"/>
      <c r="F4" s="293"/>
      <c r="G4" s="293"/>
      <c r="H4" s="293"/>
      <c r="I4" s="293"/>
    </row>
    <row r="5" spans="1:9" ht="15" customHeight="1">
      <c r="D5" s="293"/>
      <c r="E5" s="293"/>
      <c r="F5" s="293"/>
      <c r="G5" s="293"/>
      <c r="H5" s="293"/>
      <c r="I5" s="293"/>
    </row>
    <row r="6" spans="1:9" ht="15" customHeight="1">
      <c r="D6" s="293"/>
      <c r="E6" s="293"/>
      <c r="F6" s="293"/>
      <c r="G6" s="293"/>
      <c r="H6" s="293"/>
      <c r="I6" s="293"/>
    </row>
    <row r="7" spans="1:9" ht="15" customHeight="1">
      <c r="D7" s="293"/>
      <c r="E7" s="293"/>
      <c r="F7" s="293"/>
      <c r="G7" s="293"/>
      <c r="H7" s="293"/>
      <c r="I7" s="293"/>
    </row>
    <row r="8" spans="1:9" s="1" customFormat="1">
      <c r="A8" s="6"/>
      <c r="B8" s="6"/>
      <c r="C8" s="6"/>
      <c r="D8" s="6"/>
      <c r="E8" s="6"/>
      <c r="F8" s="7"/>
      <c r="G8" s="7"/>
      <c r="H8" s="7"/>
      <c r="I8" s="34"/>
    </row>
    <row r="9" spans="1:9" s="2" customFormat="1">
      <c r="A9" s="8" t="s">
        <v>102</v>
      </c>
      <c r="B9" s="8"/>
      <c r="C9" s="289" t="s">
        <v>103</v>
      </c>
      <c r="D9" s="289"/>
      <c r="E9" s="289"/>
      <c r="F9" s="289"/>
      <c r="G9" s="289"/>
      <c r="H9" s="289"/>
      <c r="I9" s="289"/>
    </row>
    <row r="10" spans="1:9" s="2" customFormat="1">
      <c r="A10" s="9" t="s">
        <v>104</v>
      </c>
      <c r="B10" s="8"/>
      <c r="C10" s="289"/>
      <c r="D10" s="289"/>
      <c r="E10" s="289"/>
      <c r="F10" s="289"/>
      <c r="G10" s="289"/>
      <c r="H10" s="289"/>
      <c r="I10" s="289"/>
    </row>
    <row r="11" spans="1:9" s="3" customFormat="1">
      <c r="D11" s="10"/>
      <c r="E11" s="10"/>
      <c r="F11" s="11"/>
      <c r="G11" s="11"/>
      <c r="H11" s="11"/>
      <c r="I11" s="11"/>
    </row>
    <row r="12" spans="1:9">
      <c r="A12" s="12" t="s">
        <v>105</v>
      </c>
      <c r="B12" s="12" t="s">
        <v>106</v>
      </c>
      <c r="C12" s="12" t="s">
        <v>4</v>
      </c>
      <c r="D12" s="12" t="s">
        <v>5</v>
      </c>
      <c r="E12" s="12" t="s">
        <v>6</v>
      </c>
      <c r="F12" s="13" t="s">
        <v>107</v>
      </c>
      <c r="G12" s="13" t="s">
        <v>8</v>
      </c>
      <c r="H12" s="13" t="s">
        <v>108</v>
      </c>
      <c r="I12" s="13" t="s">
        <v>109</v>
      </c>
    </row>
    <row r="13" spans="1:9">
      <c r="A13" s="14">
        <v>42333</v>
      </c>
      <c r="B13" s="15"/>
      <c r="C13" s="16" t="s">
        <v>110</v>
      </c>
      <c r="D13" s="17">
        <v>80</v>
      </c>
      <c r="E13" s="17" t="s">
        <v>111</v>
      </c>
      <c r="F13" s="18">
        <v>40</v>
      </c>
      <c r="G13" s="19">
        <f>F13*D13</f>
        <v>3200</v>
      </c>
      <c r="H13" s="19"/>
      <c r="I13" s="35">
        <f>G13-H13</f>
        <v>3200</v>
      </c>
    </row>
    <row r="14" spans="1:9">
      <c r="A14" s="20">
        <v>42333</v>
      </c>
      <c r="B14" s="21"/>
      <c r="C14" s="22" t="s">
        <v>112</v>
      </c>
      <c r="D14" s="23">
        <v>10</v>
      </c>
      <c r="E14" s="23" t="s">
        <v>113</v>
      </c>
      <c r="F14" s="24">
        <v>5</v>
      </c>
      <c r="G14" s="24">
        <f t="shared" ref="G14:G43" si="0">F14*D14</f>
        <v>50</v>
      </c>
      <c r="H14" s="24"/>
      <c r="I14" s="36">
        <f>IF(D13=0,0,I13+G14-H14)</f>
        <v>3250</v>
      </c>
    </row>
    <row r="15" spans="1:9">
      <c r="A15" s="25"/>
      <c r="B15" s="26"/>
      <c r="C15" s="22"/>
      <c r="D15" s="23"/>
      <c r="E15" s="23"/>
      <c r="F15" s="24"/>
      <c r="G15" s="24">
        <f t="shared" si="0"/>
        <v>0</v>
      </c>
      <c r="H15" s="24"/>
      <c r="I15" s="36">
        <f>IF(D15=0,0,I14+G15-H15)</f>
        <v>0</v>
      </c>
    </row>
    <row r="16" spans="1:9">
      <c r="A16" s="25"/>
      <c r="B16" s="26"/>
      <c r="C16" s="22"/>
      <c r="D16" s="23"/>
      <c r="E16" s="23"/>
      <c r="F16" s="24"/>
      <c r="G16" s="24">
        <f t="shared" si="0"/>
        <v>0</v>
      </c>
      <c r="H16" s="24"/>
      <c r="I16" s="36">
        <f t="shared" ref="I16:I43" si="1">IF(D16=0,0,I15+G16-H16)</f>
        <v>0</v>
      </c>
    </row>
    <row r="17" spans="1:9">
      <c r="A17" s="25"/>
      <c r="B17" s="26"/>
      <c r="C17" s="22"/>
      <c r="D17" s="23"/>
      <c r="E17" s="23"/>
      <c r="F17" s="24"/>
      <c r="G17" s="24">
        <f t="shared" si="0"/>
        <v>0</v>
      </c>
      <c r="H17" s="24"/>
      <c r="I17" s="36">
        <f t="shared" si="1"/>
        <v>0</v>
      </c>
    </row>
    <row r="18" spans="1:9">
      <c r="A18" s="25"/>
      <c r="B18" s="26"/>
      <c r="C18" s="22"/>
      <c r="D18" s="23"/>
      <c r="E18" s="23"/>
      <c r="F18" s="24"/>
      <c r="G18" s="24">
        <f t="shared" si="0"/>
        <v>0</v>
      </c>
      <c r="H18" s="24"/>
      <c r="I18" s="36">
        <f t="shared" si="1"/>
        <v>0</v>
      </c>
    </row>
    <row r="19" spans="1:9">
      <c r="A19" s="25"/>
      <c r="B19" s="26"/>
      <c r="C19" s="22"/>
      <c r="D19" s="23"/>
      <c r="E19" s="23"/>
      <c r="F19" s="24"/>
      <c r="G19" s="24">
        <f t="shared" si="0"/>
        <v>0</v>
      </c>
      <c r="H19" s="24"/>
      <c r="I19" s="36">
        <f t="shared" si="1"/>
        <v>0</v>
      </c>
    </row>
    <row r="20" spans="1:9">
      <c r="A20" s="25"/>
      <c r="B20" s="26"/>
      <c r="C20" s="22"/>
      <c r="D20" s="23"/>
      <c r="E20" s="23"/>
      <c r="F20" s="24"/>
      <c r="G20" s="24">
        <f t="shared" si="0"/>
        <v>0</v>
      </c>
      <c r="H20" s="24"/>
      <c r="I20" s="36">
        <f t="shared" si="1"/>
        <v>0</v>
      </c>
    </row>
    <row r="21" spans="1:9">
      <c r="A21" s="25"/>
      <c r="B21" s="26"/>
      <c r="C21" s="22"/>
      <c r="D21" s="23"/>
      <c r="E21" s="23"/>
      <c r="F21" s="24"/>
      <c r="G21" s="24">
        <f t="shared" si="0"/>
        <v>0</v>
      </c>
      <c r="H21" s="24"/>
      <c r="I21" s="36">
        <f t="shared" si="1"/>
        <v>0</v>
      </c>
    </row>
    <row r="22" spans="1:9">
      <c r="A22" s="25"/>
      <c r="B22" s="26"/>
      <c r="C22" s="22"/>
      <c r="D22" s="23"/>
      <c r="E22" s="23"/>
      <c r="F22" s="24"/>
      <c r="G22" s="24">
        <f t="shared" si="0"/>
        <v>0</v>
      </c>
      <c r="H22" s="24"/>
      <c r="I22" s="36">
        <f t="shared" si="1"/>
        <v>0</v>
      </c>
    </row>
    <row r="23" spans="1:9">
      <c r="A23" s="25"/>
      <c r="B23" s="26"/>
      <c r="C23" s="22"/>
      <c r="D23" s="23"/>
      <c r="E23" s="23"/>
      <c r="F23" s="24"/>
      <c r="G23" s="24">
        <f t="shared" si="0"/>
        <v>0</v>
      </c>
      <c r="H23" s="24"/>
      <c r="I23" s="36">
        <f t="shared" si="1"/>
        <v>0</v>
      </c>
    </row>
    <row r="24" spans="1:9">
      <c r="A24" s="25"/>
      <c r="B24" s="26"/>
      <c r="C24" s="22"/>
      <c r="D24" s="23"/>
      <c r="E24" s="23"/>
      <c r="F24" s="24"/>
      <c r="G24" s="24">
        <f t="shared" si="0"/>
        <v>0</v>
      </c>
      <c r="H24" s="24"/>
      <c r="I24" s="36">
        <f t="shared" si="1"/>
        <v>0</v>
      </c>
    </row>
    <row r="25" spans="1:9">
      <c r="A25" s="25"/>
      <c r="B25" s="26"/>
      <c r="C25" s="22"/>
      <c r="D25" s="23"/>
      <c r="E25" s="23"/>
      <c r="F25" s="24"/>
      <c r="G25" s="24">
        <f t="shared" si="0"/>
        <v>0</v>
      </c>
      <c r="H25" s="24"/>
      <c r="I25" s="36">
        <f t="shared" si="1"/>
        <v>0</v>
      </c>
    </row>
    <row r="26" spans="1:9">
      <c r="A26" s="25"/>
      <c r="B26" s="26"/>
      <c r="C26" s="22"/>
      <c r="D26" s="23"/>
      <c r="E26" s="23"/>
      <c r="F26" s="24"/>
      <c r="G26" s="24">
        <f t="shared" si="0"/>
        <v>0</v>
      </c>
      <c r="H26" s="24"/>
      <c r="I26" s="36">
        <f t="shared" si="1"/>
        <v>0</v>
      </c>
    </row>
    <row r="27" spans="1:9">
      <c r="A27" s="25"/>
      <c r="B27" s="26"/>
      <c r="C27" s="22"/>
      <c r="D27" s="23"/>
      <c r="E27" s="23"/>
      <c r="F27" s="24"/>
      <c r="G27" s="24">
        <f t="shared" si="0"/>
        <v>0</v>
      </c>
      <c r="H27" s="24"/>
      <c r="I27" s="36">
        <f t="shared" si="1"/>
        <v>0</v>
      </c>
    </row>
    <row r="28" spans="1:9">
      <c r="A28" s="25"/>
      <c r="B28" s="26"/>
      <c r="C28" s="22"/>
      <c r="D28" s="23"/>
      <c r="E28" s="23"/>
      <c r="F28" s="24"/>
      <c r="G28" s="24">
        <f t="shared" si="0"/>
        <v>0</v>
      </c>
      <c r="H28" s="24"/>
      <c r="I28" s="36">
        <f t="shared" si="1"/>
        <v>0</v>
      </c>
    </row>
    <row r="29" spans="1:9">
      <c r="A29" s="25"/>
      <c r="B29" s="26"/>
      <c r="C29" s="22"/>
      <c r="D29" s="23"/>
      <c r="E29" s="23"/>
      <c r="F29" s="24"/>
      <c r="G29" s="24">
        <f t="shared" si="0"/>
        <v>0</v>
      </c>
      <c r="H29" s="24"/>
      <c r="I29" s="36">
        <f t="shared" si="1"/>
        <v>0</v>
      </c>
    </row>
    <row r="30" spans="1:9">
      <c r="A30" s="25"/>
      <c r="B30" s="26"/>
      <c r="C30" s="22"/>
      <c r="D30" s="23"/>
      <c r="E30" s="23"/>
      <c r="F30" s="24"/>
      <c r="G30" s="24">
        <f t="shared" si="0"/>
        <v>0</v>
      </c>
      <c r="H30" s="24"/>
      <c r="I30" s="36">
        <f t="shared" si="1"/>
        <v>0</v>
      </c>
    </row>
    <row r="31" spans="1:9">
      <c r="A31" s="25"/>
      <c r="B31" s="26"/>
      <c r="C31" s="22"/>
      <c r="D31" s="23"/>
      <c r="E31" s="23"/>
      <c r="F31" s="24"/>
      <c r="G31" s="24">
        <f t="shared" si="0"/>
        <v>0</v>
      </c>
      <c r="H31" s="24"/>
      <c r="I31" s="36">
        <f t="shared" si="1"/>
        <v>0</v>
      </c>
    </row>
    <row r="32" spans="1:9">
      <c r="A32" s="25"/>
      <c r="B32" s="26"/>
      <c r="C32" s="22"/>
      <c r="D32" s="23"/>
      <c r="E32" s="23"/>
      <c r="F32" s="24"/>
      <c r="G32" s="24">
        <f t="shared" si="0"/>
        <v>0</v>
      </c>
      <c r="H32" s="24"/>
      <c r="I32" s="36">
        <f t="shared" si="1"/>
        <v>0</v>
      </c>
    </row>
    <row r="33" spans="1:9">
      <c r="A33" s="25"/>
      <c r="B33" s="26"/>
      <c r="C33" s="22"/>
      <c r="D33" s="23"/>
      <c r="E33" s="23"/>
      <c r="F33" s="24"/>
      <c r="G33" s="24">
        <f t="shared" si="0"/>
        <v>0</v>
      </c>
      <c r="H33" s="24"/>
      <c r="I33" s="36">
        <f t="shared" si="1"/>
        <v>0</v>
      </c>
    </row>
    <row r="34" spans="1:9">
      <c r="A34" s="25"/>
      <c r="B34" s="26"/>
      <c r="C34" s="22"/>
      <c r="D34" s="23"/>
      <c r="E34" s="23"/>
      <c r="F34" s="24"/>
      <c r="G34" s="24">
        <f t="shared" si="0"/>
        <v>0</v>
      </c>
      <c r="H34" s="24"/>
      <c r="I34" s="36">
        <f t="shared" si="1"/>
        <v>0</v>
      </c>
    </row>
    <row r="35" spans="1:9">
      <c r="A35" s="25"/>
      <c r="B35" s="26"/>
      <c r="C35" s="22"/>
      <c r="D35" s="23"/>
      <c r="E35" s="23"/>
      <c r="F35" s="24"/>
      <c r="G35" s="24">
        <f t="shared" si="0"/>
        <v>0</v>
      </c>
      <c r="H35" s="24"/>
      <c r="I35" s="36">
        <f t="shared" si="1"/>
        <v>0</v>
      </c>
    </row>
    <row r="36" spans="1:9">
      <c r="A36" s="25"/>
      <c r="B36" s="26"/>
      <c r="C36" s="22"/>
      <c r="D36" s="23"/>
      <c r="E36" s="23"/>
      <c r="F36" s="24"/>
      <c r="G36" s="24">
        <f t="shared" si="0"/>
        <v>0</v>
      </c>
      <c r="H36" s="24"/>
      <c r="I36" s="36">
        <f t="shared" si="1"/>
        <v>0</v>
      </c>
    </row>
    <row r="37" spans="1:9">
      <c r="A37" s="25"/>
      <c r="B37" s="26"/>
      <c r="C37" s="22"/>
      <c r="D37" s="23"/>
      <c r="E37" s="23"/>
      <c r="F37" s="24"/>
      <c r="G37" s="24">
        <f t="shared" si="0"/>
        <v>0</v>
      </c>
      <c r="H37" s="24"/>
      <c r="I37" s="36">
        <f t="shared" si="1"/>
        <v>0</v>
      </c>
    </row>
    <row r="38" spans="1:9">
      <c r="A38" s="25"/>
      <c r="B38" s="26"/>
      <c r="C38" s="22"/>
      <c r="D38" s="23"/>
      <c r="E38" s="23"/>
      <c r="F38" s="24"/>
      <c r="G38" s="24">
        <f t="shared" si="0"/>
        <v>0</v>
      </c>
      <c r="H38" s="24"/>
      <c r="I38" s="36">
        <f t="shared" si="1"/>
        <v>0</v>
      </c>
    </row>
    <row r="39" spans="1:9">
      <c r="A39" s="25"/>
      <c r="B39" s="26"/>
      <c r="C39" s="22"/>
      <c r="D39" s="23"/>
      <c r="E39" s="23"/>
      <c r="F39" s="24"/>
      <c r="G39" s="24">
        <f t="shared" si="0"/>
        <v>0</v>
      </c>
      <c r="H39" s="24"/>
      <c r="I39" s="36">
        <f t="shared" si="1"/>
        <v>0</v>
      </c>
    </row>
    <row r="40" spans="1:9">
      <c r="A40" s="25"/>
      <c r="B40" s="26"/>
      <c r="C40" s="22"/>
      <c r="D40" s="23"/>
      <c r="E40" s="23"/>
      <c r="F40" s="24"/>
      <c r="G40" s="24">
        <f t="shared" si="0"/>
        <v>0</v>
      </c>
      <c r="H40" s="24"/>
      <c r="I40" s="36">
        <f t="shared" si="1"/>
        <v>0</v>
      </c>
    </row>
    <row r="41" spans="1:9">
      <c r="A41" s="25"/>
      <c r="B41" s="26"/>
      <c r="C41" s="22"/>
      <c r="D41" s="23"/>
      <c r="E41" s="23"/>
      <c r="F41" s="24"/>
      <c r="G41" s="24">
        <f t="shared" si="0"/>
        <v>0</v>
      </c>
      <c r="H41" s="24"/>
      <c r="I41" s="36">
        <f t="shared" si="1"/>
        <v>0</v>
      </c>
    </row>
    <row r="42" spans="1:9">
      <c r="A42" s="25"/>
      <c r="B42" s="26"/>
      <c r="C42" s="22"/>
      <c r="D42" s="23"/>
      <c r="E42" s="23"/>
      <c r="F42" s="24"/>
      <c r="G42" s="24">
        <f t="shared" si="0"/>
        <v>0</v>
      </c>
      <c r="H42" s="24"/>
      <c r="I42" s="36">
        <f t="shared" si="1"/>
        <v>0</v>
      </c>
    </row>
    <row r="43" spans="1:9">
      <c r="A43" s="27"/>
      <c r="B43" s="28"/>
      <c r="C43" s="29"/>
      <c r="D43" s="30"/>
      <c r="E43" s="30"/>
      <c r="F43" s="31"/>
      <c r="G43" s="31">
        <f t="shared" si="0"/>
        <v>0</v>
      </c>
      <c r="H43" s="31"/>
      <c r="I43" s="37">
        <f t="shared" si="1"/>
        <v>0</v>
      </c>
    </row>
    <row r="44" spans="1:9">
      <c r="A44" s="290" t="s">
        <v>114</v>
      </c>
      <c r="B44" s="291"/>
      <c r="C44" s="291"/>
      <c r="D44" s="291"/>
      <c r="E44" s="291"/>
      <c r="F44" s="292"/>
      <c r="G44" s="32">
        <f>SUM(G13:G43)</f>
        <v>3250</v>
      </c>
      <c r="H44" s="33">
        <f>SUM(H13:H43)</f>
        <v>0</v>
      </c>
      <c r="I44" s="38">
        <f>G44-H44</f>
        <v>3250</v>
      </c>
    </row>
  </sheetData>
  <mergeCells count="4">
    <mergeCell ref="C9:I9"/>
    <mergeCell ref="C10:I10"/>
    <mergeCell ref="A44:F44"/>
    <mergeCell ref="D1:I7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MATERIAIS</vt:lpstr>
      <vt:lpstr>CAIXA DE OBRA</vt:lpstr>
      <vt:lpstr>SERVIÇOS</vt:lpstr>
      <vt:lpstr>MATERIAIS!Area_de_impressao</vt:lpstr>
      <vt:lpstr>MATERIAIS!Titulos_de_impressao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de Paula</dc:creator>
  <cp:lastModifiedBy>Diego Gusmão</cp:lastModifiedBy>
  <cp:lastPrinted>2025-05-07T20:02:54Z</cp:lastPrinted>
  <dcterms:created xsi:type="dcterms:W3CDTF">2015-11-25T10:47:00Z</dcterms:created>
  <dcterms:modified xsi:type="dcterms:W3CDTF">2025-10-14T13:49:10Z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EADE10BB5AA144A6A8429778ECAF21B3</vt:lpwstr>
  </property>
  <property fmtid="{D5CDD505-2E9C-101B-9397-08002B2CF9AE}" pid="3" name="KSOProductBuildVer">
    <vt:lpwstr>1046-12.2.0.13306</vt:lpwstr>
  </property>
</Properties>
</file>